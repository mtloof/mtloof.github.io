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268f05db3e154c3/DTU 2024-2029/Resource engineering/"/>
    </mc:Choice>
  </mc:AlternateContent>
  <xr:revisionPtr revIDLastSave="27" documentId="8_{AE73F522-61C4-48FD-A761-A6B83D948518}" xr6:coauthVersionLast="47" xr6:coauthVersionMax="47" xr10:uidLastSave="{8E829E8C-7827-4342-9697-C0FD9B515C82}"/>
  <bookViews>
    <workbookView xWindow="-103" yWindow="-103" windowWidth="16663" windowHeight="8743" firstSheet="3" activeTab="3" xr2:uid="{00000000-000D-0000-FFFF-FFFF00000000}"/>
  </bookViews>
  <sheets>
    <sheet name="Biomass" sheetId="1" r:id="rId1"/>
    <sheet name="Metal ores (gross ores)" sheetId="2" r:id="rId2"/>
    <sheet name="Non-metallic minerals" sheetId="3" r:id="rId3"/>
    <sheet name="Fossil energy materials_carrie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" i="1" l="1"/>
  <c r="AG3" i="3"/>
  <c r="AH3" i="3"/>
  <c r="AI3" i="3"/>
  <c r="AG4" i="3"/>
  <c r="AH4" i="3"/>
  <c r="AI4" i="3"/>
  <c r="AG5" i="3"/>
  <c r="AH5" i="3"/>
  <c r="AI5" i="3"/>
  <c r="AG6" i="3"/>
  <c r="AH6" i="3"/>
  <c r="AI6" i="3"/>
  <c r="AG7" i="3"/>
  <c r="AH7" i="3"/>
  <c r="AI7" i="3"/>
  <c r="AG8" i="3"/>
  <c r="AH8" i="3"/>
  <c r="AI8" i="3"/>
  <c r="AG9" i="3"/>
  <c r="AH9" i="3"/>
  <c r="AI9" i="3"/>
  <c r="AG10" i="3"/>
  <c r="AH10" i="3"/>
  <c r="AI10" i="3"/>
  <c r="AG11" i="3"/>
  <c r="AH11" i="3"/>
  <c r="AI11" i="3"/>
  <c r="AG12" i="3"/>
  <c r="AH12" i="3"/>
  <c r="AI12" i="3"/>
  <c r="AG13" i="3"/>
  <c r="AH13" i="3"/>
  <c r="AI13" i="3"/>
  <c r="AG14" i="3"/>
  <c r="AH14" i="3"/>
  <c r="AI14" i="3"/>
  <c r="AG15" i="3"/>
  <c r="AH15" i="3"/>
  <c r="AI15" i="3"/>
  <c r="AG16" i="3"/>
  <c r="AH16" i="3"/>
  <c r="AI16" i="3"/>
  <c r="AH2" i="3"/>
  <c r="AI2" i="3"/>
  <c r="AG2" i="3"/>
  <c r="W3" i="3"/>
  <c r="X3" i="3"/>
  <c r="Y3" i="3"/>
  <c r="Z3" i="3"/>
  <c r="AA3" i="3"/>
  <c r="AB3" i="3"/>
  <c r="AC3" i="3"/>
  <c r="AD3" i="3"/>
  <c r="AE3" i="3"/>
  <c r="AF3" i="3"/>
  <c r="W4" i="3"/>
  <c r="X4" i="3"/>
  <c r="Y4" i="3"/>
  <c r="Z4" i="3"/>
  <c r="AA4" i="3"/>
  <c r="AB4" i="3"/>
  <c r="AC4" i="3"/>
  <c r="AD4" i="3"/>
  <c r="AE4" i="3"/>
  <c r="AF4" i="3"/>
  <c r="W5" i="3"/>
  <c r="X5" i="3"/>
  <c r="Y5" i="3"/>
  <c r="Z5" i="3"/>
  <c r="AA5" i="3"/>
  <c r="AB5" i="3"/>
  <c r="AC5" i="3"/>
  <c r="AD5" i="3"/>
  <c r="AE5" i="3"/>
  <c r="AF5" i="3"/>
  <c r="W6" i="3"/>
  <c r="X6" i="3"/>
  <c r="Y6" i="3"/>
  <c r="Z6" i="3"/>
  <c r="AA6" i="3"/>
  <c r="AB6" i="3"/>
  <c r="AC6" i="3"/>
  <c r="AD6" i="3"/>
  <c r="AE6" i="3"/>
  <c r="AF6" i="3"/>
  <c r="W7" i="3"/>
  <c r="X7" i="3"/>
  <c r="Y7" i="3"/>
  <c r="Z7" i="3"/>
  <c r="AA7" i="3"/>
  <c r="AB7" i="3"/>
  <c r="AC7" i="3"/>
  <c r="AD7" i="3"/>
  <c r="AE7" i="3"/>
  <c r="AF7" i="3"/>
  <c r="W8" i="3"/>
  <c r="X8" i="3"/>
  <c r="Y8" i="3"/>
  <c r="Z8" i="3"/>
  <c r="AA8" i="3"/>
  <c r="AB8" i="3"/>
  <c r="AC8" i="3"/>
  <c r="AD8" i="3"/>
  <c r="AE8" i="3"/>
  <c r="AF8" i="3"/>
  <c r="W9" i="3"/>
  <c r="X9" i="3"/>
  <c r="Y9" i="3"/>
  <c r="Z9" i="3"/>
  <c r="AA9" i="3"/>
  <c r="AB9" i="3"/>
  <c r="AC9" i="3"/>
  <c r="AD9" i="3"/>
  <c r="AE9" i="3"/>
  <c r="AF9" i="3"/>
  <c r="W10" i="3"/>
  <c r="X10" i="3"/>
  <c r="Y10" i="3"/>
  <c r="Z10" i="3"/>
  <c r="AA10" i="3"/>
  <c r="AB10" i="3"/>
  <c r="AC10" i="3"/>
  <c r="AD10" i="3"/>
  <c r="AE10" i="3"/>
  <c r="AF10" i="3"/>
  <c r="W11" i="3"/>
  <c r="X11" i="3"/>
  <c r="Y11" i="3"/>
  <c r="Z11" i="3"/>
  <c r="AA11" i="3"/>
  <c r="AB11" i="3"/>
  <c r="AC11" i="3"/>
  <c r="AD11" i="3"/>
  <c r="AE11" i="3"/>
  <c r="AF11" i="3"/>
  <c r="W12" i="3"/>
  <c r="X12" i="3"/>
  <c r="Y12" i="3"/>
  <c r="Z12" i="3"/>
  <c r="AA12" i="3"/>
  <c r="AB12" i="3"/>
  <c r="AC12" i="3"/>
  <c r="AD12" i="3"/>
  <c r="AE12" i="3"/>
  <c r="AF12" i="3"/>
  <c r="W13" i="3"/>
  <c r="X13" i="3"/>
  <c r="Y13" i="3"/>
  <c r="Z13" i="3"/>
  <c r="AA13" i="3"/>
  <c r="AB13" i="3"/>
  <c r="AC13" i="3"/>
  <c r="AD13" i="3"/>
  <c r="AE13" i="3"/>
  <c r="AF13" i="3"/>
  <c r="W14" i="3"/>
  <c r="X14" i="3"/>
  <c r="Y14" i="3"/>
  <c r="Z14" i="3"/>
  <c r="AA14" i="3"/>
  <c r="AB14" i="3"/>
  <c r="AC14" i="3"/>
  <c r="AD14" i="3"/>
  <c r="AE14" i="3"/>
  <c r="AF14" i="3"/>
  <c r="W15" i="3"/>
  <c r="X15" i="3"/>
  <c r="Y15" i="3"/>
  <c r="Z15" i="3"/>
  <c r="AA15" i="3"/>
  <c r="AB15" i="3"/>
  <c r="AC15" i="3"/>
  <c r="AD15" i="3"/>
  <c r="AE15" i="3"/>
  <c r="AF15" i="3"/>
  <c r="W16" i="3"/>
  <c r="X16" i="3"/>
  <c r="Y16" i="3"/>
  <c r="Z16" i="3"/>
  <c r="AA16" i="3"/>
  <c r="AB16" i="3"/>
  <c r="AC16" i="3"/>
  <c r="AD16" i="3"/>
  <c r="AE16" i="3"/>
  <c r="AF16" i="3"/>
  <c r="AF2" i="3"/>
  <c r="AE2" i="3"/>
  <c r="AD2" i="3"/>
  <c r="AC2" i="3"/>
  <c r="AB2" i="3"/>
  <c r="AA2" i="3"/>
  <c r="Z2" i="3"/>
  <c r="Y2" i="3"/>
  <c r="X2" i="3"/>
  <c r="W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2" i="3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2" i="1"/>
  <c r="Q32" i="1"/>
  <c r="D52" i="1"/>
  <c r="E52" i="1"/>
  <c r="E25" i="1" s="1"/>
  <c r="F52" i="1"/>
  <c r="F18" i="1" s="1"/>
  <c r="G52" i="1"/>
  <c r="G18" i="1" s="1"/>
  <c r="H52" i="1"/>
  <c r="H21" i="1" s="1"/>
  <c r="I52" i="1"/>
  <c r="I20" i="1" s="1"/>
  <c r="J52" i="1"/>
  <c r="J47" i="1" s="1"/>
  <c r="K52" i="1"/>
  <c r="K31" i="1" s="1"/>
  <c r="L52" i="1"/>
  <c r="L30" i="1" s="1"/>
  <c r="M52" i="1"/>
  <c r="M29" i="1" s="1"/>
  <c r="N52" i="1"/>
  <c r="N23" i="1" s="1"/>
  <c r="O52" i="1"/>
  <c r="O18" i="1" s="1"/>
  <c r="P52" i="1"/>
  <c r="Q52" i="1"/>
  <c r="Q36" i="1" s="1"/>
  <c r="R52" i="1"/>
  <c r="R18" i="1" s="1"/>
  <c r="S52" i="1"/>
  <c r="S18" i="1" s="1"/>
  <c r="D52" i="3"/>
  <c r="D52" i="2"/>
  <c r="D52" i="4"/>
  <c r="E17" i="1"/>
  <c r="F17" i="1"/>
  <c r="G17" i="1"/>
  <c r="H17" i="1"/>
  <c r="P17" i="1"/>
  <c r="Q17" i="1"/>
  <c r="R17" i="1"/>
  <c r="S17" i="1"/>
  <c r="E18" i="1"/>
  <c r="P18" i="1"/>
  <c r="Q18" i="1"/>
  <c r="E19" i="1"/>
  <c r="P19" i="1"/>
  <c r="Q19" i="1"/>
  <c r="R19" i="1"/>
  <c r="S19" i="1"/>
  <c r="E20" i="1"/>
  <c r="P20" i="1"/>
  <c r="Q20" i="1"/>
  <c r="R20" i="1"/>
  <c r="S20" i="1"/>
  <c r="E21" i="1"/>
  <c r="F21" i="1"/>
  <c r="G21" i="1"/>
  <c r="P21" i="1"/>
  <c r="Q21" i="1"/>
  <c r="R21" i="1"/>
  <c r="S21" i="1"/>
  <c r="E22" i="1"/>
  <c r="P22" i="1"/>
  <c r="Q22" i="1"/>
  <c r="E23" i="1"/>
  <c r="P23" i="1"/>
  <c r="Q23" i="1"/>
  <c r="R23" i="1"/>
  <c r="E24" i="1"/>
  <c r="F24" i="1"/>
  <c r="G24" i="1"/>
  <c r="H24" i="1"/>
  <c r="I24" i="1"/>
  <c r="J24" i="1"/>
  <c r="K24" i="1"/>
  <c r="P24" i="1"/>
  <c r="Q24" i="1"/>
  <c r="R24" i="1"/>
  <c r="S24" i="1"/>
  <c r="F25" i="1"/>
  <c r="P25" i="1"/>
  <c r="Q25" i="1"/>
  <c r="R25" i="1"/>
  <c r="S25" i="1"/>
  <c r="E26" i="1"/>
  <c r="P26" i="1"/>
  <c r="Q26" i="1"/>
  <c r="E27" i="1"/>
  <c r="P27" i="1"/>
  <c r="Q27" i="1"/>
  <c r="R27" i="1"/>
  <c r="S27" i="1"/>
  <c r="E28" i="1"/>
  <c r="F28" i="1"/>
  <c r="G28" i="1"/>
  <c r="P28" i="1"/>
  <c r="Q28" i="1"/>
  <c r="R28" i="1"/>
  <c r="E29" i="1"/>
  <c r="F29" i="1"/>
  <c r="G29" i="1"/>
  <c r="P29" i="1"/>
  <c r="Q29" i="1"/>
  <c r="R29" i="1"/>
  <c r="S29" i="1"/>
  <c r="E30" i="1"/>
  <c r="J30" i="1"/>
  <c r="P30" i="1"/>
  <c r="Q30" i="1"/>
  <c r="F31" i="1"/>
  <c r="P31" i="1"/>
  <c r="Q31" i="1"/>
  <c r="R31" i="1"/>
  <c r="S31" i="1"/>
  <c r="E32" i="1"/>
  <c r="F32" i="1"/>
  <c r="G32" i="1"/>
  <c r="P32" i="1"/>
  <c r="R32" i="1"/>
  <c r="S32" i="1"/>
  <c r="E33" i="1"/>
  <c r="F33" i="1"/>
  <c r="G33" i="1"/>
  <c r="H33" i="1"/>
  <c r="P33" i="1"/>
  <c r="Q33" i="1"/>
  <c r="R33" i="1"/>
  <c r="S33" i="1"/>
  <c r="P34" i="1"/>
  <c r="Q34" i="1"/>
  <c r="E35" i="1"/>
  <c r="F35" i="1"/>
  <c r="G35" i="1"/>
  <c r="H35" i="1"/>
  <c r="I35" i="1"/>
  <c r="P35" i="1"/>
  <c r="Q35" i="1"/>
  <c r="R35" i="1"/>
  <c r="S35" i="1"/>
  <c r="E36" i="1"/>
  <c r="F36" i="1"/>
  <c r="G36" i="1"/>
  <c r="H36" i="1"/>
  <c r="I36" i="1"/>
  <c r="P36" i="1"/>
  <c r="R36" i="1"/>
  <c r="S36" i="1"/>
  <c r="E37" i="1"/>
  <c r="F37" i="1"/>
  <c r="G37" i="1"/>
  <c r="H37" i="1"/>
  <c r="M37" i="1"/>
  <c r="N37" i="1"/>
  <c r="O37" i="1"/>
  <c r="P37" i="1"/>
  <c r="Q37" i="1"/>
  <c r="R37" i="1"/>
  <c r="S37" i="1"/>
  <c r="E38" i="1"/>
  <c r="P38" i="1"/>
  <c r="Q38" i="1"/>
  <c r="E39" i="1"/>
  <c r="F39" i="1"/>
  <c r="G39" i="1"/>
  <c r="H39" i="1"/>
  <c r="I39" i="1"/>
  <c r="P39" i="1"/>
  <c r="Q39" i="1"/>
  <c r="R39" i="1"/>
  <c r="S39" i="1"/>
  <c r="E40" i="1"/>
  <c r="F40" i="1"/>
  <c r="G40" i="1"/>
  <c r="P40" i="1"/>
  <c r="Q40" i="1"/>
  <c r="R40" i="1"/>
  <c r="S40" i="1"/>
  <c r="E41" i="1"/>
  <c r="F41" i="1"/>
  <c r="G41" i="1"/>
  <c r="H41" i="1"/>
  <c r="P41" i="1"/>
  <c r="Q41" i="1"/>
  <c r="R41" i="1"/>
  <c r="S41" i="1"/>
  <c r="E42" i="1"/>
  <c r="P42" i="1"/>
  <c r="Q42" i="1"/>
  <c r="E43" i="1"/>
  <c r="F43" i="1"/>
  <c r="G43" i="1"/>
  <c r="P43" i="1"/>
  <c r="Q43" i="1"/>
  <c r="F44" i="1"/>
  <c r="G44" i="1"/>
  <c r="P44" i="1"/>
  <c r="Q44" i="1"/>
  <c r="R44" i="1"/>
  <c r="S44" i="1"/>
  <c r="E45" i="1"/>
  <c r="F45" i="1"/>
  <c r="G45" i="1"/>
  <c r="P45" i="1"/>
  <c r="Q45" i="1"/>
  <c r="R45" i="1"/>
  <c r="S45" i="1"/>
  <c r="E46" i="1"/>
  <c r="I46" i="1"/>
  <c r="P46" i="1"/>
  <c r="Q46" i="1"/>
  <c r="E47" i="1"/>
  <c r="F47" i="1"/>
  <c r="G47" i="1"/>
  <c r="H47" i="1"/>
  <c r="P47" i="1"/>
  <c r="Q47" i="1"/>
  <c r="R47" i="1"/>
  <c r="S47" i="1"/>
  <c r="E48" i="1"/>
  <c r="F48" i="1"/>
  <c r="G48" i="1"/>
  <c r="P48" i="1"/>
  <c r="Q48" i="1"/>
  <c r="R48" i="1"/>
  <c r="S48" i="1"/>
  <c r="E49" i="1"/>
  <c r="F49" i="1"/>
  <c r="P49" i="1"/>
  <c r="Q49" i="1"/>
  <c r="R49" i="1"/>
  <c r="S49" i="1"/>
  <c r="E50" i="1"/>
  <c r="I50" i="1"/>
  <c r="P50" i="1"/>
  <c r="Q50" i="1"/>
  <c r="E51" i="1"/>
  <c r="F51" i="1"/>
  <c r="P51" i="1"/>
  <c r="Q51" i="1"/>
  <c r="R51" i="1"/>
  <c r="S51" i="1"/>
  <c r="E16" i="1"/>
  <c r="F16" i="1"/>
  <c r="G16" i="1"/>
  <c r="P16" i="1"/>
  <c r="Q16" i="1"/>
  <c r="R16" i="1"/>
  <c r="S16" i="1"/>
  <c r="M18" i="1" l="1"/>
  <c r="L18" i="1"/>
  <c r="K18" i="1"/>
  <c r="J18" i="1"/>
  <c r="N39" i="1"/>
  <c r="O21" i="1"/>
  <c r="I19" i="1"/>
  <c r="E44" i="1"/>
  <c r="J40" i="1"/>
  <c r="L39" i="1"/>
  <c r="L35" i="1"/>
  <c r="K34" i="1"/>
  <c r="G31" i="1"/>
  <c r="G25" i="1"/>
  <c r="H23" i="1"/>
  <c r="N21" i="1"/>
  <c r="H20" i="1"/>
  <c r="H19" i="1"/>
  <c r="M23" i="1"/>
  <c r="L19" i="1"/>
  <c r="K19" i="1"/>
  <c r="I31" i="1"/>
  <c r="J23" i="1"/>
  <c r="J20" i="1"/>
  <c r="J19" i="1"/>
  <c r="K40" i="1"/>
  <c r="H31" i="1"/>
  <c r="H51" i="1"/>
  <c r="G49" i="1"/>
  <c r="S43" i="1"/>
  <c r="I40" i="1"/>
  <c r="K39" i="1"/>
  <c r="K35" i="1"/>
  <c r="J34" i="1"/>
  <c r="G27" i="1"/>
  <c r="G23" i="1"/>
  <c r="M21" i="1"/>
  <c r="G20" i="1"/>
  <c r="G19" i="1"/>
  <c r="L23" i="1"/>
  <c r="K23" i="1"/>
  <c r="M34" i="1"/>
  <c r="M39" i="1"/>
  <c r="L34" i="1"/>
  <c r="H25" i="1"/>
  <c r="I23" i="1"/>
  <c r="G51" i="1"/>
  <c r="R43" i="1"/>
  <c r="H40" i="1"/>
  <c r="J39" i="1"/>
  <c r="J36" i="1"/>
  <c r="J35" i="1"/>
  <c r="E34" i="1"/>
  <c r="E31" i="1"/>
  <c r="S28" i="1"/>
  <c r="F27" i="1"/>
  <c r="S23" i="1"/>
  <c r="F23" i="1"/>
  <c r="F20" i="1"/>
  <c r="F19" i="1"/>
  <c r="O22" i="1"/>
  <c r="N16" i="1"/>
  <c r="N20" i="1"/>
  <c r="N24" i="1"/>
  <c r="N28" i="1"/>
  <c r="N32" i="1"/>
  <c r="N36" i="1"/>
  <c r="N40" i="1"/>
  <c r="N44" i="1"/>
  <c r="N48" i="1"/>
  <c r="N38" i="1"/>
  <c r="N22" i="1"/>
  <c r="M38" i="1"/>
  <c r="O25" i="1"/>
  <c r="N43" i="1"/>
  <c r="N41" i="1"/>
  <c r="O26" i="1"/>
  <c r="L22" i="1"/>
  <c r="M43" i="1"/>
  <c r="M41" i="1"/>
  <c r="M27" i="1"/>
  <c r="M25" i="1"/>
  <c r="O46" i="1"/>
  <c r="L43" i="1"/>
  <c r="J38" i="1"/>
  <c r="O29" i="1"/>
  <c r="J28" i="1"/>
  <c r="L27" i="1"/>
  <c r="M26" i="1"/>
  <c r="J22" i="1"/>
  <c r="I17" i="1"/>
  <c r="I21" i="1"/>
  <c r="I25" i="1"/>
  <c r="I29" i="1"/>
  <c r="I33" i="1"/>
  <c r="I37" i="1"/>
  <c r="I41" i="1"/>
  <c r="I45" i="1"/>
  <c r="I49" i="1"/>
  <c r="I18" i="1"/>
  <c r="I22" i="1"/>
  <c r="I26" i="1"/>
  <c r="I30" i="1"/>
  <c r="I34" i="1"/>
  <c r="I38" i="1"/>
  <c r="I42" i="1"/>
  <c r="L16" i="1"/>
  <c r="M51" i="1"/>
  <c r="N50" i="1"/>
  <c r="N49" i="1"/>
  <c r="K48" i="1"/>
  <c r="N46" i="1"/>
  <c r="N45" i="1"/>
  <c r="K43" i="1"/>
  <c r="O30" i="1"/>
  <c r="I28" i="1"/>
  <c r="L26" i="1"/>
  <c r="H18" i="1"/>
  <c r="H22" i="1"/>
  <c r="H26" i="1"/>
  <c r="H30" i="1"/>
  <c r="H34" i="1"/>
  <c r="H38" i="1"/>
  <c r="H42" i="1"/>
  <c r="H46" i="1"/>
  <c r="H50" i="1"/>
  <c r="L51" i="1"/>
  <c r="M49" i="1"/>
  <c r="L47" i="1"/>
  <c r="M45" i="1"/>
  <c r="J43" i="1"/>
  <c r="M31" i="1"/>
  <c r="H28" i="1"/>
  <c r="K26" i="1"/>
  <c r="K51" i="1"/>
  <c r="L49" i="1"/>
  <c r="K47" i="1"/>
  <c r="J42" i="1"/>
  <c r="O33" i="1"/>
  <c r="H29" i="1"/>
  <c r="I16" i="1"/>
  <c r="J51" i="1"/>
  <c r="K50" i="1"/>
  <c r="H49" i="1"/>
  <c r="H48" i="1"/>
  <c r="K46" i="1"/>
  <c r="H43" i="1"/>
  <c r="N35" i="1"/>
  <c r="O34" i="1"/>
  <c r="N33" i="1"/>
  <c r="I32" i="1"/>
  <c r="H27" i="1"/>
  <c r="N19" i="1"/>
  <c r="N17" i="1"/>
  <c r="O19" i="1"/>
  <c r="O23" i="1"/>
  <c r="O27" i="1"/>
  <c r="O31" i="1"/>
  <c r="O35" i="1"/>
  <c r="O39" i="1"/>
  <c r="O43" i="1"/>
  <c r="O47" i="1"/>
  <c r="O51" i="1"/>
  <c r="O16" i="1"/>
  <c r="O20" i="1"/>
  <c r="O24" i="1"/>
  <c r="O28" i="1"/>
  <c r="O32" i="1"/>
  <c r="O36" i="1"/>
  <c r="O40" i="1"/>
  <c r="O44" i="1"/>
  <c r="O38" i="1"/>
  <c r="M16" i="1"/>
  <c r="M20" i="1"/>
  <c r="M24" i="1"/>
  <c r="M28" i="1"/>
  <c r="M32" i="1"/>
  <c r="M36" i="1"/>
  <c r="M40" i="1"/>
  <c r="M44" i="1"/>
  <c r="M48" i="1"/>
  <c r="O41" i="1"/>
  <c r="M22" i="1"/>
  <c r="L20" i="1"/>
  <c r="L24" i="1"/>
  <c r="L28" i="1"/>
  <c r="L32" i="1"/>
  <c r="L36" i="1"/>
  <c r="L40" i="1"/>
  <c r="L44" i="1"/>
  <c r="L48" i="1"/>
  <c r="L17" i="1"/>
  <c r="L21" i="1"/>
  <c r="L25" i="1"/>
  <c r="L29" i="1"/>
  <c r="L33" i="1"/>
  <c r="L37" i="1"/>
  <c r="L41" i="1"/>
  <c r="L45" i="1"/>
  <c r="O42" i="1"/>
  <c r="L38" i="1"/>
  <c r="N27" i="1"/>
  <c r="N25" i="1"/>
  <c r="K17" i="1"/>
  <c r="K21" i="1"/>
  <c r="K25" i="1"/>
  <c r="K29" i="1"/>
  <c r="K33" i="1"/>
  <c r="K37" i="1"/>
  <c r="K41" i="1"/>
  <c r="K45" i="1"/>
  <c r="K49" i="1"/>
  <c r="K44" i="1"/>
  <c r="N42" i="1"/>
  <c r="K38" i="1"/>
  <c r="K28" i="1"/>
  <c r="N26" i="1"/>
  <c r="K22" i="1"/>
  <c r="J17" i="1"/>
  <c r="J21" i="1"/>
  <c r="J25" i="1"/>
  <c r="J29" i="1"/>
  <c r="J33" i="1"/>
  <c r="J37" i="1"/>
  <c r="J41" i="1"/>
  <c r="J45" i="1"/>
  <c r="J49" i="1"/>
  <c r="N51" i="1"/>
  <c r="O50" i="1"/>
  <c r="O49" i="1"/>
  <c r="O48" i="1"/>
  <c r="N47" i="1"/>
  <c r="O45" i="1"/>
  <c r="J44" i="1"/>
  <c r="M42" i="1"/>
  <c r="M47" i="1"/>
  <c r="I44" i="1"/>
  <c r="L42" i="1"/>
  <c r="N31" i="1"/>
  <c r="N29" i="1"/>
  <c r="K27" i="1"/>
  <c r="K16" i="1"/>
  <c r="M50" i="1"/>
  <c r="J48" i="1"/>
  <c r="M46" i="1"/>
  <c r="H44" i="1"/>
  <c r="K42" i="1"/>
  <c r="K32" i="1"/>
  <c r="N30" i="1"/>
  <c r="J27" i="1"/>
  <c r="J16" i="1"/>
  <c r="L50" i="1"/>
  <c r="I48" i="1"/>
  <c r="L46" i="1"/>
  <c r="H45" i="1"/>
  <c r="I43" i="1"/>
  <c r="J32" i="1"/>
  <c r="L31" i="1"/>
  <c r="M30" i="1"/>
  <c r="I27" i="1"/>
  <c r="J26" i="1"/>
  <c r="O17" i="1"/>
  <c r="H16" i="1"/>
  <c r="I51" i="1"/>
  <c r="J50" i="1"/>
  <c r="I47" i="1"/>
  <c r="J46" i="1"/>
  <c r="K36" i="1"/>
  <c r="M35" i="1"/>
  <c r="N34" i="1"/>
  <c r="M33" i="1"/>
  <c r="H32" i="1"/>
  <c r="J31" i="1"/>
  <c r="K30" i="1"/>
  <c r="K20" i="1"/>
  <c r="M19" i="1"/>
  <c r="N18" i="1"/>
  <c r="M17" i="1"/>
  <c r="S50" i="1"/>
  <c r="G50" i="1"/>
  <c r="S46" i="1"/>
  <c r="G46" i="1"/>
  <c r="S42" i="1"/>
  <c r="G42" i="1"/>
  <c r="S38" i="1"/>
  <c r="G38" i="1"/>
  <c r="S34" i="1"/>
  <c r="G34" i="1"/>
  <c r="S30" i="1"/>
  <c r="G30" i="1"/>
  <c r="S26" i="1"/>
  <c r="G26" i="1"/>
  <c r="S22" i="1"/>
  <c r="G22" i="1"/>
  <c r="R50" i="1"/>
  <c r="F50" i="1"/>
  <c r="R46" i="1"/>
  <c r="F46" i="1"/>
  <c r="R42" i="1"/>
  <c r="F42" i="1"/>
  <c r="R38" i="1"/>
  <c r="F38" i="1"/>
  <c r="R34" i="1"/>
  <c r="F34" i="1"/>
  <c r="R30" i="1"/>
  <c r="F30" i="1"/>
  <c r="R26" i="1"/>
  <c r="F26" i="1"/>
  <c r="R22" i="1"/>
  <c r="F22" i="1"/>
  <c r="C52" i="1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C52" i="4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C52" i="3"/>
  <c r="S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C52" i="2"/>
  <c r="Q17" i="4" l="1"/>
  <c r="Q21" i="4"/>
  <c r="Q25" i="4"/>
  <c r="Q29" i="4"/>
  <c r="Q33" i="4"/>
  <c r="Q37" i="4"/>
  <c r="Q41" i="4"/>
  <c r="Q45" i="4"/>
  <c r="Q49" i="4"/>
  <c r="Q20" i="4"/>
  <c r="Q22" i="4"/>
  <c r="Q44" i="4"/>
  <c r="Q47" i="4"/>
  <c r="Q16" i="4"/>
  <c r="Q23" i="4"/>
  <c r="Q46" i="4"/>
  <c r="Q24" i="4"/>
  <c r="Q26" i="4"/>
  <c r="Q27" i="4"/>
  <c r="Q28" i="4"/>
  <c r="Q30" i="4"/>
  <c r="Q38" i="4"/>
  <c r="Q35" i="4"/>
  <c r="Q43" i="4"/>
  <c r="Q48" i="4"/>
  <c r="Q42" i="4"/>
  <c r="Q50" i="4"/>
  <c r="Q39" i="4"/>
  <c r="Q36" i="4"/>
  <c r="Q19" i="4"/>
  <c r="Q32" i="4"/>
  <c r="Q40" i="4"/>
  <c r="Q51" i="4"/>
  <c r="Q34" i="4"/>
  <c r="Q31" i="4"/>
  <c r="Q18" i="4"/>
  <c r="E17" i="4"/>
  <c r="E21" i="4"/>
  <c r="E25" i="4"/>
  <c r="E29" i="4"/>
  <c r="E33" i="4"/>
  <c r="E37" i="4"/>
  <c r="E41" i="4"/>
  <c r="E45" i="4"/>
  <c r="E49" i="4"/>
  <c r="E18" i="4"/>
  <c r="E40" i="4"/>
  <c r="E42" i="4"/>
  <c r="E24" i="4"/>
  <c r="E26" i="4"/>
  <c r="E47" i="4"/>
  <c r="E16" i="4"/>
  <c r="E27" i="4"/>
  <c r="E19" i="4"/>
  <c r="E43" i="4"/>
  <c r="E20" i="4"/>
  <c r="E22" i="4"/>
  <c r="E44" i="4"/>
  <c r="E46" i="4"/>
  <c r="E23" i="4"/>
  <c r="E32" i="4"/>
  <c r="E34" i="4"/>
  <c r="E50" i="4"/>
  <c r="E31" i="4"/>
  <c r="E39" i="4"/>
  <c r="E30" i="4"/>
  <c r="E38" i="4"/>
  <c r="E35" i="4"/>
  <c r="E28" i="4"/>
  <c r="E36" i="4"/>
  <c r="E48" i="4"/>
  <c r="E51" i="4"/>
  <c r="P21" i="4"/>
  <c r="P23" i="4"/>
  <c r="P45" i="4"/>
  <c r="P46" i="4"/>
  <c r="P30" i="4"/>
  <c r="P29" i="4"/>
  <c r="P31" i="4"/>
  <c r="P48" i="4"/>
  <c r="P24" i="4"/>
  <c r="P26" i="4"/>
  <c r="P25" i="4"/>
  <c r="P27" i="4"/>
  <c r="P47" i="4"/>
  <c r="P16" i="4"/>
  <c r="P28" i="4"/>
  <c r="P33" i="4"/>
  <c r="P38" i="4"/>
  <c r="P41" i="4"/>
  <c r="P35" i="4"/>
  <c r="P43" i="4"/>
  <c r="P17" i="4"/>
  <c r="P19" i="4"/>
  <c r="P32" i="4"/>
  <c r="P37" i="4"/>
  <c r="P50" i="4"/>
  <c r="P18" i="4"/>
  <c r="P44" i="4"/>
  <c r="P49" i="4"/>
  <c r="P40" i="4"/>
  <c r="P51" i="4"/>
  <c r="P34" i="4"/>
  <c r="P42" i="4"/>
  <c r="P39" i="4"/>
  <c r="P36" i="4"/>
  <c r="P20" i="4"/>
  <c r="P22" i="4"/>
  <c r="O18" i="4"/>
  <c r="O22" i="4"/>
  <c r="O26" i="4"/>
  <c r="O30" i="4"/>
  <c r="O34" i="4"/>
  <c r="O38" i="4"/>
  <c r="O42" i="4"/>
  <c r="O24" i="4"/>
  <c r="O16" i="4"/>
  <c r="O25" i="4"/>
  <c r="O27" i="4"/>
  <c r="O47" i="4"/>
  <c r="O28" i="4"/>
  <c r="O29" i="4"/>
  <c r="O31" i="4"/>
  <c r="O48" i="4"/>
  <c r="O32" i="4"/>
  <c r="O46" i="4"/>
  <c r="O35" i="4"/>
  <c r="O43" i="4"/>
  <c r="O17" i="4"/>
  <c r="O19" i="4"/>
  <c r="O40" i="4"/>
  <c r="O51" i="4"/>
  <c r="O39" i="4"/>
  <c r="O36" i="4"/>
  <c r="O20" i="4"/>
  <c r="O33" i="4"/>
  <c r="O21" i="4"/>
  <c r="O23" i="4"/>
  <c r="O37" i="4"/>
  <c r="O45" i="4"/>
  <c r="O50" i="4"/>
  <c r="O44" i="4"/>
  <c r="O49" i="4"/>
  <c r="O41" i="4"/>
  <c r="N18" i="4"/>
  <c r="N22" i="4"/>
  <c r="N26" i="4"/>
  <c r="N30" i="4"/>
  <c r="N34" i="4"/>
  <c r="N38" i="4"/>
  <c r="N42" i="4"/>
  <c r="N46" i="4"/>
  <c r="N50" i="4"/>
  <c r="N16" i="4"/>
  <c r="N25" i="4"/>
  <c r="N27" i="4"/>
  <c r="N47" i="4"/>
  <c r="N33" i="4"/>
  <c r="N35" i="4"/>
  <c r="N28" i="4"/>
  <c r="N29" i="4"/>
  <c r="N31" i="4"/>
  <c r="N48" i="4"/>
  <c r="N32" i="4"/>
  <c r="N49" i="4"/>
  <c r="N43" i="4"/>
  <c r="N17" i="4"/>
  <c r="N19" i="4"/>
  <c r="N40" i="4"/>
  <c r="N51" i="4"/>
  <c r="N21" i="4"/>
  <c r="N23" i="4"/>
  <c r="N37" i="4"/>
  <c r="N45" i="4"/>
  <c r="N44" i="4"/>
  <c r="N41" i="4"/>
  <c r="N24" i="4"/>
  <c r="N39" i="4"/>
  <c r="N36" i="4"/>
  <c r="N20" i="4"/>
  <c r="M26" i="4"/>
  <c r="M28" i="4"/>
  <c r="M16" i="4"/>
  <c r="M49" i="4"/>
  <c r="M29" i="4"/>
  <c r="M31" i="4"/>
  <c r="M48" i="4"/>
  <c r="M30" i="4"/>
  <c r="M32" i="4"/>
  <c r="M33" i="4"/>
  <c r="M35" i="4"/>
  <c r="M34" i="4"/>
  <c r="M36" i="4"/>
  <c r="M17" i="4"/>
  <c r="M19" i="4"/>
  <c r="M40" i="4"/>
  <c r="M51" i="4"/>
  <c r="M21" i="4"/>
  <c r="M23" i="4"/>
  <c r="M37" i="4"/>
  <c r="M45" i="4"/>
  <c r="M42" i="4"/>
  <c r="M50" i="4"/>
  <c r="M18" i="4"/>
  <c r="M24" i="4"/>
  <c r="M43" i="4"/>
  <c r="M46" i="4"/>
  <c r="M25" i="4"/>
  <c r="M27" i="4"/>
  <c r="M39" i="4"/>
  <c r="M44" i="4"/>
  <c r="M47" i="4"/>
  <c r="M20" i="4"/>
  <c r="M41" i="4"/>
  <c r="M22" i="4"/>
  <c r="M38" i="4"/>
  <c r="L19" i="4"/>
  <c r="L23" i="4"/>
  <c r="L27" i="4"/>
  <c r="L31" i="4"/>
  <c r="L35" i="4"/>
  <c r="L39" i="4"/>
  <c r="L43" i="4"/>
  <c r="L29" i="4"/>
  <c r="L48" i="4"/>
  <c r="L34" i="4"/>
  <c r="L36" i="4"/>
  <c r="L37" i="4"/>
  <c r="L50" i="4"/>
  <c r="L30" i="4"/>
  <c r="L32" i="4"/>
  <c r="L33" i="4"/>
  <c r="L49" i="4"/>
  <c r="L17" i="4"/>
  <c r="L40" i="4"/>
  <c r="L51" i="4"/>
  <c r="L21" i="4"/>
  <c r="L45" i="4"/>
  <c r="L16" i="4"/>
  <c r="L25" i="4"/>
  <c r="L42" i="4"/>
  <c r="L18" i="4"/>
  <c r="L41" i="4"/>
  <c r="L22" i="4"/>
  <c r="L38" i="4"/>
  <c r="L44" i="4"/>
  <c r="L47" i="4"/>
  <c r="L20" i="4"/>
  <c r="L24" i="4"/>
  <c r="L46" i="4"/>
  <c r="L26" i="4"/>
  <c r="L28" i="4"/>
  <c r="K19" i="4"/>
  <c r="K23" i="4"/>
  <c r="K27" i="4"/>
  <c r="K31" i="4"/>
  <c r="K35" i="4"/>
  <c r="K39" i="4"/>
  <c r="K43" i="4"/>
  <c r="K47" i="4"/>
  <c r="K51" i="4"/>
  <c r="K30" i="4"/>
  <c r="K32" i="4"/>
  <c r="K17" i="4"/>
  <c r="K33" i="4"/>
  <c r="K49" i="4"/>
  <c r="K34" i="4"/>
  <c r="K36" i="4"/>
  <c r="K37" i="4"/>
  <c r="K50" i="4"/>
  <c r="K38" i="4"/>
  <c r="K40" i="4"/>
  <c r="K21" i="4"/>
  <c r="K45" i="4"/>
  <c r="K16" i="4"/>
  <c r="K48" i="4"/>
  <c r="K25" i="4"/>
  <c r="K42" i="4"/>
  <c r="K22" i="4"/>
  <c r="K46" i="4"/>
  <c r="K28" i="4"/>
  <c r="K44" i="4"/>
  <c r="K18" i="4"/>
  <c r="K20" i="4"/>
  <c r="K29" i="4"/>
  <c r="K41" i="4"/>
  <c r="K24" i="4"/>
  <c r="K26" i="4"/>
  <c r="J31" i="4"/>
  <c r="J33" i="4"/>
  <c r="J49" i="4"/>
  <c r="J38" i="4"/>
  <c r="J40" i="4"/>
  <c r="J17" i="4"/>
  <c r="J39" i="4"/>
  <c r="J41" i="4"/>
  <c r="J34" i="4"/>
  <c r="J36" i="4"/>
  <c r="J35" i="4"/>
  <c r="J37" i="4"/>
  <c r="J50" i="4"/>
  <c r="J51" i="4"/>
  <c r="J18" i="4"/>
  <c r="J20" i="4"/>
  <c r="J19" i="4"/>
  <c r="J21" i="4"/>
  <c r="J45" i="4"/>
  <c r="J16" i="4"/>
  <c r="J30" i="4"/>
  <c r="J48" i="4"/>
  <c r="J23" i="4"/>
  <c r="J25" i="4"/>
  <c r="J42" i="4"/>
  <c r="J32" i="4"/>
  <c r="J27" i="4"/>
  <c r="J22" i="4"/>
  <c r="J26" i="4"/>
  <c r="J44" i="4"/>
  <c r="J29" i="4"/>
  <c r="J47" i="4"/>
  <c r="J24" i="4"/>
  <c r="J46" i="4"/>
  <c r="J28" i="4"/>
  <c r="J43" i="4"/>
  <c r="I20" i="4"/>
  <c r="I24" i="4"/>
  <c r="I28" i="4"/>
  <c r="I32" i="4"/>
  <c r="I36" i="4"/>
  <c r="I40" i="4"/>
  <c r="I44" i="4"/>
  <c r="I34" i="4"/>
  <c r="I51" i="4"/>
  <c r="I19" i="4"/>
  <c r="I21" i="4"/>
  <c r="I35" i="4"/>
  <c r="I37" i="4"/>
  <c r="I50" i="4"/>
  <c r="I38" i="4"/>
  <c r="I17" i="4"/>
  <c r="I39" i="4"/>
  <c r="I41" i="4"/>
  <c r="I18" i="4"/>
  <c r="I42" i="4"/>
  <c r="I30" i="4"/>
  <c r="I48" i="4"/>
  <c r="I23" i="4"/>
  <c r="I25" i="4"/>
  <c r="I27" i="4"/>
  <c r="I29" i="4"/>
  <c r="I46" i="4"/>
  <c r="I26" i="4"/>
  <c r="I43" i="4"/>
  <c r="I49" i="4"/>
  <c r="I47" i="4"/>
  <c r="I22" i="4"/>
  <c r="I31" i="4"/>
  <c r="I33" i="4"/>
  <c r="I45" i="4"/>
  <c r="I16" i="4"/>
  <c r="C20" i="4"/>
  <c r="C32" i="4"/>
  <c r="C44" i="4"/>
  <c r="C29" i="4"/>
  <c r="C42" i="4"/>
  <c r="C19" i="4"/>
  <c r="C46" i="4"/>
  <c r="C21" i="4"/>
  <c r="C34" i="4"/>
  <c r="C17" i="4"/>
  <c r="C30" i="4"/>
  <c r="C43" i="4"/>
  <c r="C18" i="4"/>
  <c r="C31" i="4"/>
  <c r="C45" i="4"/>
  <c r="C33" i="4"/>
  <c r="C47" i="4"/>
  <c r="C16" i="4"/>
  <c r="C27" i="4"/>
  <c r="C51" i="4"/>
  <c r="C28" i="4"/>
  <c r="C35" i="4"/>
  <c r="C36" i="4"/>
  <c r="C38" i="4"/>
  <c r="C40" i="4"/>
  <c r="C41" i="4"/>
  <c r="C24" i="4"/>
  <c r="C49" i="4"/>
  <c r="C26" i="4"/>
  <c r="C37" i="4"/>
  <c r="C39" i="4"/>
  <c r="C22" i="4"/>
  <c r="C23" i="4"/>
  <c r="C48" i="4"/>
  <c r="C25" i="4"/>
  <c r="C50" i="4"/>
  <c r="H20" i="4"/>
  <c r="H24" i="4"/>
  <c r="H28" i="4"/>
  <c r="H32" i="4"/>
  <c r="H36" i="4"/>
  <c r="H40" i="4"/>
  <c r="H44" i="4"/>
  <c r="H48" i="4"/>
  <c r="H35" i="4"/>
  <c r="H37" i="4"/>
  <c r="H50" i="4"/>
  <c r="H42" i="4"/>
  <c r="H19" i="4"/>
  <c r="H43" i="4"/>
  <c r="H45" i="4"/>
  <c r="H38" i="4"/>
  <c r="H17" i="4"/>
  <c r="H39" i="4"/>
  <c r="H41" i="4"/>
  <c r="H51" i="4"/>
  <c r="H18" i="4"/>
  <c r="H21" i="4"/>
  <c r="H22" i="4"/>
  <c r="H23" i="4"/>
  <c r="H25" i="4"/>
  <c r="H27" i="4"/>
  <c r="H29" i="4"/>
  <c r="H47" i="4"/>
  <c r="H26" i="4"/>
  <c r="H33" i="4"/>
  <c r="H30" i="4"/>
  <c r="H34" i="4"/>
  <c r="H46" i="4"/>
  <c r="H31" i="4"/>
  <c r="H49" i="4"/>
  <c r="H16" i="4"/>
  <c r="S18" i="4"/>
  <c r="S40" i="4"/>
  <c r="S42" i="4"/>
  <c r="S51" i="4"/>
  <c r="S19" i="4"/>
  <c r="S21" i="4"/>
  <c r="S43" i="4"/>
  <c r="S45" i="4"/>
  <c r="S20" i="4"/>
  <c r="S22" i="4"/>
  <c r="S44" i="4"/>
  <c r="S23" i="4"/>
  <c r="S25" i="4"/>
  <c r="S46" i="4"/>
  <c r="S24" i="4"/>
  <c r="S26" i="4"/>
  <c r="S27" i="4"/>
  <c r="S28" i="4"/>
  <c r="S33" i="4"/>
  <c r="S36" i="4"/>
  <c r="S41" i="4"/>
  <c r="S49" i="4"/>
  <c r="S30" i="4"/>
  <c r="S38" i="4"/>
  <c r="S16" i="4"/>
  <c r="S29" i="4"/>
  <c r="S32" i="4"/>
  <c r="S47" i="4"/>
  <c r="S50" i="4"/>
  <c r="S39" i="4"/>
  <c r="S17" i="4"/>
  <c r="S35" i="4"/>
  <c r="S48" i="4"/>
  <c r="S37" i="4"/>
  <c r="S34" i="4"/>
  <c r="S31" i="4"/>
  <c r="G36" i="4"/>
  <c r="G38" i="4"/>
  <c r="G20" i="4"/>
  <c r="G22" i="4"/>
  <c r="G23" i="4"/>
  <c r="G25" i="4"/>
  <c r="G17" i="4"/>
  <c r="G39" i="4"/>
  <c r="G41" i="4"/>
  <c r="G51" i="4"/>
  <c r="G18" i="4"/>
  <c r="G40" i="4"/>
  <c r="G42" i="4"/>
  <c r="G19" i="4"/>
  <c r="G21" i="4"/>
  <c r="G43" i="4"/>
  <c r="G45" i="4"/>
  <c r="G44" i="4"/>
  <c r="G46" i="4"/>
  <c r="G35" i="4"/>
  <c r="G27" i="4"/>
  <c r="G29" i="4"/>
  <c r="G32" i="4"/>
  <c r="G37" i="4"/>
  <c r="G47" i="4"/>
  <c r="G34" i="4"/>
  <c r="G49" i="4"/>
  <c r="G33" i="4"/>
  <c r="G16" i="4"/>
  <c r="G50" i="4"/>
  <c r="G24" i="4"/>
  <c r="G26" i="4"/>
  <c r="G31" i="4"/>
  <c r="G28" i="4"/>
  <c r="G30" i="4"/>
  <c r="G48" i="4"/>
  <c r="R17" i="4"/>
  <c r="R21" i="4"/>
  <c r="R25" i="4"/>
  <c r="R29" i="4"/>
  <c r="R33" i="4"/>
  <c r="R37" i="4"/>
  <c r="R41" i="4"/>
  <c r="R45" i="4"/>
  <c r="R19" i="4"/>
  <c r="R43" i="4"/>
  <c r="R26" i="4"/>
  <c r="R27" i="4"/>
  <c r="R20" i="4"/>
  <c r="R22" i="4"/>
  <c r="R44" i="4"/>
  <c r="R23" i="4"/>
  <c r="R46" i="4"/>
  <c r="R24" i="4"/>
  <c r="R47" i="4"/>
  <c r="R16" i="4"/>
  <c r="R28" i="4"/>
  <c r="R36" i="4"/>
  <c r="R49" i="4"/>
  <c r="R30" i="4"/>
  <c r="R38" i="4"/>
  <c r="R35" i="4"/>
  <c r="R34" i="4"/>
  <c r="R31" i="4"/>
  <c r="R18" i="4"/>
  <c r="R48" i="4"/>
  <c r="R32" i="4"/>
  <c r="R40" i="4"/>
  <c r="R51" i="4"/>
  <c r="R42" i="4"/>
  <c r="R50" i="4"/>
  <c r="R39" i="4"/>
  <c r="F17" i="4"/>
  <c r="F21" i="4"/>
  <c r="F25" i="4"/>
  <c r="F29" i="4"/>
  <c r="F33" i="4"/>
  <c r="F37" i="4"/>
  <c r="F41" i="4"/>
  <c r="F45" i="4"/>
  <c r="F39" i="4"/>
  <c r="F51" i="4"/>
  <c r="F20" i="4"/>
  <c r="F44" i="4"/>
  <c r="F46" i="4"/>
  <c r="F18" i="4"/>
  <c r="F40" i="4"/>
  <c r="F42" i="4"/>
  <c r="F19" i="4"/>
  <c r="F43" i="4"/>
  <c r="F22" i="4"/>
  <c r="F23" i="4"/>
  <c r="F24" i="4"/>
  <c r="F26" i="4"/>
  <c r="F27" i="4"/>
  <c r="F32" i="4"/>
  <c r="F47" i="4"/>
  <c r="F34" i="4"/>
  <c r="F50" i="4"/>
  <c r="F31" i="4"/>
  <c r="F36" i="4"/>
  <c r="F30" i="4"/>
  <c r="F48" i="4"/>
  <c r="F49" i="4"/>
  <c r="F28" i="4"/>
  <c r="F16" i="4"/>
  <c r="F38" i="4"/>
  <c r="F35" i="4"/>
  <c r="L19" i="3"/>
  <c r="L23" i="3"/>
  <c r="L27" i="3"/>
  <c r="L31" i="3"/>
  <c r="L35" i="3"/>
  <c r="L39" i="3"/>
  <c r="L43" i="3"/>
  <c r="L24" i="3"/>
  <c r="L25" i="3"/>
  <c r="L26" i="3"/>
  <c r="L40" i="3"/>
  <c r="L41" i="3"/>
  <c r="L42" i="3"/>
  <c r="L50" i="3"/>
  <c r="L38" i="3"/>
  <c r="L20" i="3"/>
  <c r="L21" i="3"/>
  <c r="L22" i="3"/>
  <c r="L36" i="3"/>
  <c r="L37" i="3"/>
  <c r="L17" i="3"/>
  <c r="L18" i="3"/>
  <c r="L32" i="3"/>
  <c r="L33" i="3"/>
  <c r="L34" i="3"/>
  <c r="L44" i="3"/>
  <c r="L48" i="3"/>
  <c r="L30" i="3"/>
  <c r="L46" i="3"/>
  <c r="L28" i="3"/>
  <c r="L49" i="3"/>
  <c r="L29" i="3"/>
  <c r="L45" i="3"/>
  <c r="L51" i="3"/>
  <c r="L47" i="3"/>
  <c r="L16" i="3"/>
  <c r="M18" i="3"/>
  <c r="M22" i="3"/>
  <c r="M26" i="3"/>
  <c r="M30" i="3"/>
  <c r="M34" i="3"/>
  <c r="M38" i="3"/>
  <c r="M42" i="3"/>
  <c r="M46" i="3"/>
  <c r="M50" i="3"/>
  <c r="M49" i="3"/>
  <c r="M51" i="3"/>
  <c r="M23" i="3"/>
  <c r="M24" i="3"/>
  <c r="M25" i="3"/>
  <c r="M39" i="3"/>
  <c r="M40" i="3"/>
  <c r="M41" i="3"/>
  <c r="M19" i="3"/>
  <c r="M20" i="3"/>
  <c r="M21" i="3"/>
  <c r="M35" i="3"/>
  <c r="M36" i="3"/>
  <c r="M37" i="3"/>
  <c r="M17" i="3"/>
  <c r="M27" i="3"/>
  <c r="M33" i="3"/>
  <c r="M28" i="3"/>
  <c r="M31" i="3"/>
  <c r="M44" i="3"/>
  <c r="M48" i="3"/>
  <c r="M43" i="3"/>
  <c r="M29" i="3"/>
  <c r="M45" i="3"/>
  <c r="M32" i="3"/>
  <c r="M16" i="3"/>
  <c r="M47" i="3"/>
  <c r="K19" i="3"/>
  <c r="K23" i="3"/>
  <c r="K27" i="3"/>
  <c r="K31" i="3"/>
  <c r="K35" i="3"/>
  <c r="K39" i="3"/>
  <c r="K43" i="3"/>
  <c r="K47" i="3"/>
  <c r="K51" i="3"/>
  <c r="K17" i="3"/>
  <c r="K18" i="3"/>
  <c r="K32" i="3"/>
  <c r="K33" i="3"/>
  <c r="K34" i="3"/>
  <c r="K20" i="3"/>
  <c r="K21" i="3"/>
  <c r="K22" i="3"/>
  <c r="K36" i="3"/>
  <c r="K37" i="3"/>
  <c r="K38" i="3"/>
  <c r="K44" i="3"/>
  <c r="K30" i="3"/>
  <c r="K46" i="3"/>
  <c r="K48" i="3"/>
  <c r="K25" i="3"/>
  <c r="K42" i="3"/>
  <c r="K50" i="3"/>
  <c r="K28" i="3"/>
  <c r="K40" i="3"/>
  <c r="K45" i="3"/>
  <c r="K49" i="3"/>
  <c r="K29" i="3"/>
  <c r="K16" i="3"/>
  <c r="K24" i="3"/>
  <c r="K41" i="3"/>
  <c r="K26" i="3"/>
  <c r="J19" i="3"/>
  <c r="J23" i="3"/>
  <c r="J27" i="3"/>
  <c r="J31" i="3"/>
  <c r="J35" i="3"/>
  <c r="J39" i="3"/>
  <c r="J43" i="3"/>
  <c r="J47" i="3"/>
  <c r="J51" i="3"/>
  <c r="J20" i="3"/>
  <c r="J21" i="3"/>
  <c r="J22" i="3"/>
  <c r="J36" i="3"/>
  <c r="J37" i="3"/>
  <c r="J38" i="3"/>
  <c r="J17" i="3"/>
  <c r="J18" i="3"/>
  <c r="J32" i="3"/>
  <c r="J33" i="3"/>
  <c r="J34" i="3"/>
  <c r="J44" i="3"/>
  <c r="J30" i="3"/>
  <c r="J46" i="3"/>
  <c r="J48" i="3"/>
  <c r="J25" i="3"/>
  <c r="J40" i="3"/>
  <c r="J16" i="3"/>
  <c r="J28" i="3"/>
  <c r="J42" i="3"/>
  <c r="J50" i="3"/>
  <c r="J45" i="3"/>
  <c r="J26" i="3"/>
  <c r="J29" i="3"/>
  <c r="J24" i="3"/>
  <c r="J41" i="3"/>
  <c r="J49" i="3"/>
  <c r="I20" i="3"/>
  <c r="I24" i="3"/>
  <c r="I28" i="3"/>
  <c r="I32" i="3"/>
  <c r="I36" i="3"/>
  <c r="I40" i="3"/>
  <c r="I44" i="3"/>
  <c r="I21" i="3"/>
  <c r="I22" i="3"/>
  <c r="I23" i="3"/>
  <c r="I37" i="3"/>
  <c r="I38" i="3"/>
  <c r="I39" i="3"/>
  <c r="I17" i="3"/>
  <c r="I18" i="3"/>
  <c r="I19" i="3"/>
  <c r="I33" i="3"/>
  <c r="I34" i="3"/>
  <c r="I35" i="3"/>
  <c r="I16" i="3"/>
  <c r="I29" i="3"/>
  <c r="I30" i="3"/>
  <c r="I31" i="3"/>
  <c r="I27" i="3"/>
  <c r="I46" i="3"/>
  <c r="I48" i="3"/>
  <c r="I25" i="3"/>
  <c r="I42" i="3"/>
  <c r="I45" i="3"/>
  <c r="I47" i="3"/>
  <c r="I50" i="3"/>
  <c r="I26" i="3"/>
  <c r="I49" i="3"/>
  <c r="I51" i="3"/>
  <c r="I41" i="3"/>
  <c r="I43" i="3"/>
  <c r="C21" i="3"/>
  <c r="C33" i="3"/>
  <c r="C45" i="3"/>
  <c r="C22" i="3"/>
  <c r="C34" i="3"/>
  <c r="C46" i="3"/>
  <c r="C26" i="3"/>
  <c r="C40" i="3"/>
  <c r="C47" i="3"/>
  <c r="C27" i="3"/>
  <c r="C41" i="3"/>
  <c r="C28" i="3"/>
  <c r="C42" i="3"/>
  <c r="C29" i="3"/>
  <c r="C43" i="3"/>
  <c r="C17" i="3"/>
  <c r="C30" i="3"/>
  <c r="C44" i="3"/>
  <c r="C31" i="3"/>
  <c r="C16" i="3"/>
  <c r="C20" i="3"/>
  <c r="C50" i="3"/>
  <c r="C23" i="3"/>
  <c r="C51" i="3"/>
  <c r="C24" i="3"/>
  <c r="C32" i="3"/>
  <c r="C37" i="3"/>
  <c r="C25" i="3"/>
  <c r="C35" i="3"/>
  <c r="C36" i="3"/>
  <c r="C18" i="3"/>
  <c r="C39" i="3"/>
  <c r="C48" i="3"/>
  <c r="C19" i="3"/>
  <c r="C38" i="3"/>
  <c r="C49" i="3"/>
  <c r="H20" i="3"/>
  <c r="H24" i="3"/>
  <c r="H28" i="3"/>
  <c r="H32" i="3"/>
  <c r="H36" i="3"/>
  <c r="H40" i="3"/>
  <c r="H44" i="3"/>
  <c r="H48" i="3"/>
  <c r="H29" i="3"/>
  <c r="H30" i="3"/>
  <c r="H31" i="3"/>
  <c r="H45" i="3"/>
  <c r="H17" i="3"/>
  <c r="H18" i="3"/>
  <c r="H19" i="3"/>
  <c r="H33" i="3"/>
  <c r="H34" i="3"/>
  <c r="H35" i="3"/>
  <c r="H16" i="3"/>
  <c r="H22" i="3"/>
  <c r="H25" i="3"/>
  <c r="H42" i="3"/>
  <c r="H50" i="3"/>
  <c r="H38" i="3"/>
  <c r="H23" i="3"/>
  <c r="H26" i="3"/>
  <c r="H47" i="3"/>
  <c r="H43" i="3"/>
  <c r="H49" i="3"/>
  <c r="H41" i="3"/>
  <c r="H21" i="3"/>
  <c r="H27" i="3"/>
  <c r="H37" i="3"/>
  <c r="H51" i="3"/>
  <c r="H39" i="3"/>
  <c r="H46" i="3"/>
  <c r="S20" i="3"/>
  <c r="S24" i="3"/>
  <c r="S28" i="3"/>
  <c r="S32" i="3"/>
  <c r="S36" i="3"/>
  <c r="S40" i="3"/>
  <c r="S44" i="3"/>
  <c r="S48" i="3"/>
  <c r="S47" i="3"/>
  <c r="S29" i="3"/>
  <c r="S30" i="3"/>
  <c r="S31" i="3"/>
  <c r="S16" i="3"/>
  <c r="S45" i="3"/>
  <c r="S46" i="3"/>
  <c r="S25" i="3"/>
  <c r="S26" i="3"/>
  <c r="S27" i="3"/>
  <c r="S41" i="3"/>
  <c r="S42" i="3"/>
  <c r="S43" i="3"/>
  <c r="S49" i="3"/>
  <c r="S50" i="3"/>
  <c r="S34" i="3"/>
  <c r="S37" i="3"/>
  <c r="S39" i="3"/>
  <c r="S19" i="3"/>
  <c r="S22" i="3"/>
  <c r="S17" i="3"/>
  <c r="S35" i="3"/>
  <c r="S38" i="3"/>
  <c r="S23" i="3"/>
  <c r="S33" i="3"/>
  <c r="S18" i="3"/>
  <c r="S51" i="3"/>
  <c r="S21" i="3"/>
  <c r="G20" i="3"/>
  <c r="G24" i="3"/>
  <c r="G28" i="3"/>
  <c r="G32" i="3"/>
  <c r="G36" i="3"/>
  <c r="G40" i="3"/>
  <c r="G44" i="3"/>
  <c r="G48" i="3"/>
  <c r="G30" i="3"/>
  <c r="G46" i="3"/>
  <c r="G17" i="3"/>
  <c r="G18" i="3"/>
  <c r="G19" i="3"/>
  <c r="G33" i="3"/>
  <c r="G34" i="3"/>
  <c r="G35" i="3"/>
  <c r="G16" i="3"/>
  <c r="G29" i="3"/>
  <c r="G31" i="3"/>
  <c r="G45" i="3"/>
  <c r="G22" i="3"/>
  <c r="G25" i="3"/>
  <c r="G42" i="3"/>
  <c r="G50" i="3"/>
  <c r="G23" i="3"/>
  <c r="G43" i="3"/>
  <c r="G21" i="3"/>
  <c r="G51" i="3"/>
  <c r="G38" i="3"/>
  <c r="G26" i="3"/>
  <c r="G47" i="3"/>
  <c r="G49" i="3"/>
  <c r="G41" i="3"/>
  <c r="G37" i="3"/>
  <c r="G39" i="3"/>
  <c r="G27" i="3"/>
  <c r="R16" i="3"/>
  <c r="R17" i="3"/>
  <c r="R21" i="3"/>
  <c r="R25" i="3"/>
  <c r="R29" i="3"/>
  <c r="R33" i="3"/>
  <c r="R37" i="3"/>
  <c r="R41" i="3"/>
  <c r="R30" i="3"/>
  <c r="R31" i="3"/>
  <c r="R32" i="3"/>
  <c r="R49" i="3"/>
  <c r="R51" i="3"/>
  <c r="R45" i="3"/>
  <c r="R46" i="3"/>
  <c r="R26" i="3"/>
  <c r="R27" i="3"/>
  <c r="R28" i="3"/>
  <c r="R42" i="3"/>
  <c r="R43" i="3"/>
  <c r="R44" i="3"/>
  <c r="R47" i="3"/>
  <c r="R48" i="3"/>
  <c r="R50" i="3"/>
  <c r="R22" i="3"/>
  <c r="R23" i="3"/>
  <c r="R24" i="3"/>
  <c r="R19" i="3"/>
  <c r="R35" i="3"/>
  <c r="R38" i="3"/>
  <c r="R40" i="3"/>
  <c r="R20" i="3"/>
  <c r="R18" i="3"/>
  <c r="R36" i="3"/>
  <c r="R39" i="3"/>
  <c r="R34" i="3"/>
  <c r="F16" i="3"/>
  <c r="F17" i="3"/>
  <c r="F21" i="3"/>
  <c r="F25" i="3"/>
  <c r="F29" i="3"/>
  <c r="F33" i="3"/>
  <c r="F37" i="3"/>
  <c r="F41" i="3"/>
  <c r="F45" i="3"/>
  <c r="F18" i="3"/>
  <c r="F19" i="3"/>
  <c r="F20" i="3"/>
  <c r="F34" i="3"/>
  <c r="F35" i="3"/>
  <c r="F36" i="3"/>
  <c r="F47" i="3"/>
  <c r="F49" i="3"/>
  <c r="F30" i="3"/>
  <c r="F31" i="3"/>
  <c r="F32" i="3"/>
  <c r="F46" i="3"/>
  <c r="F26" i="3"/>
  <c r="F27" i="3"/>
  <c r="F28" i="3"/>
  <c r="F40" i="3"/>
  <c r="F23" i="3"/>
  <c r="F51" i="3"/>
  <c r="F38" i="3"/>
  <c r="F43" i="3"/>
  <c r="F44" i="3"/>
  <c r="F50" i="3"/>
  <c r="F39" i="3"/>
  <c r="F22" i="3"/>
  <c r="F24" i="3"/>
  <c r="F48" i="3"/>
  <c r="F42" i="3"/>
  <c r="Q16" i="3"/>
  <c r="Q17" i="3"/>
  <c r="Q21" i="3"/>
  <c r="Q25" i="3"/>
  <c r="Q29" i="3"/>
  <c r="Q33" i="3"/>
  <c r="Q37" i="3"/>
  <c r="Q41" i="3"/>
  <c r="Q45" i="3"/>
  <c r="Q49" i="3"/>
  <c r="Q22" i="3"/>
  <c r="Q23" i="3"/>
  <c r="Q24" i="3"/>
  <c r="Q38" i="3"/>
  <c r="Q39" i="3"/>
  <c r="Q40" i="3"/>
  <c r="Q46" i="3"/>
  <c r="Q26" i="3"/>
  <c r="Q27" i="3"/>
  <c r="Q28" i="3"/>
  <c r="Q42" i="3"/>
  <c r="Q43" i="3"/>
  <c r="Q44" i="3"/>
  <c r="Q47" i="3"/>
  <c r="Q48" i="3"/>
  <c r="Q50" i="3"/>
  <c r="Q51" i="3"/>
  <c r="Q19" i="3"/>
  <c r="Q32" i="3"/>
  <c r="Q35" i="3"/>
  <c r="Q20" i="3"/>
  <c r="Q30" i="3"/>
  <c r="Q18" i="3"/>
  <c r="Q34" i="3"/>
  <c r="Q31" i="3"/>
  <c r="Q36" i="3"/>
  <c r="E16" i="3"/>
  <c r="E17" i="3"/>
  <c r="E21" i="3"/>
  <c r="E25" i="3"/>
  <c r="E29" i="3"/>
  <c r="E33" i="3"/>
  <c r="E37" i="3"/>
  <c r="E41" i="3"/>
  <c r="E45" i="3"/>
  <c r="E49" i="3"/>
  <c r="E26" i="3"/>
  <c r="E28" i="3"/>
  <c r="E42" i="3"/>
  <c r="E44" i="3"/>
  <c r="E50" i="3"/>
  <c r="E30" i="3"/>
  <c r="E31" i="3"/>
  <c r="E32" i="3"/>
  <c r="E46" i="3"/>
  <c r="E47" i="3"/>
  <c r="E27" i="3"/>
  <c r="E43" i="3"/>
  <c r="E48" i="3"/>
  <c r="E35" i="3"/>
  <c r="E38" i="3"/>
  <c r="E40" i="3"/>
  <c r="E36" i="3"/>
  <c r="E39" i="3"/>
  <c r="E20" i="3"/>
  <c r="E23" i="3"/>
  <c r="E18" i="3"/>
  <c r="E51" i="3"/>
  <c r="E24" i="3"/>
  <c r="E19" i="3"/>
  <c r="E22" i="3"/>
  <c r="E34" i="3"/>
  <c r="P17" i="3"/>
  <c r="P21" i="3"/>
  <c r="P25" i="3"/>
  <c r="P29" i="3"/>
  <c r="P33" i="3"/>
  <c r="P37" i="3"/>
  <c r="P41" i="3"/>
  <c r="P45" i="3"/>
  <c r="P49" i="3"/>
  <c r="P46" i="3"/>
  <c r="P16" i="3"/>
  <c r="P28" i="3"/>
  <c r="P40" i="3"/>
  <c r="P26" i="3"/>
  <c r="P27" i="3"/>
  <c r="P42" i="3"/>
  <c r="P43" i="3"/>
  <c r="P44" i="3"/>
  <c r="P47" i="3"/>
  <c r="P48" i="3"/>
  <c r="P50" i="3"/>
  <c r="P51" i="3"/>
  <c r="P22" i="3"/>
  <c r="P23" i="3"/>
  <c r="P24" i="3"/>
  <c r="P38" i="3"/>
  <c r="P39" i="3"/>
  <c r="P32" i="3"/>
  <c r="P35" i="3"/>
  <c r="P20" i="3"/>
  <c r="P30" i="3"/>
  <c r="P18" i="3"/>
  <c r="P36" i="3"/>
  <c r="P19" i="3"/>
  <c r="P31" i="3"/>
  <c r="P34" i="3"/>
  <c r="O18" i="3"/>
  <c r="O22" i="3"/>
  <c r="O26" i="3"/>
  <c r="O30" i="3"/>
  <c r="O34" i="3"/>
  <c r="O38" i="3"/>
  <c r="O42" i="3"/>
  <c r="O27" i="3"/>
  <c r="O28" i="3"/>
  <c r="O29" i="3"/>
  <c r="O43" i="3"/>
  <c r="O44" i="3"/>
  <c r="O45" i="3"/>
  <c r="O47" i="3"/>
  <c r="O48" i="3"/>
  <c r="O50" i="3"/>
  <c r="O49" i="3"/>
  <c r="O51" i="3"/>
  <c r="O23" i="3"/>
  <c r="O24" i="3"/>
  <c r="O25" i="3"/>
  <c r="O39" i="3"/>
  <c r="O40" i="3"/>
  <c r="O41" i="3"/>
  <c r="O19" i="3"/>
  <c r="O20" i="3"/>
  <c r="O21" i="3"/>
  <c r="O35" i="3"/>
  <c r="O36" i="3"/>
  <c r="O37" i="3"/>
  <c r="O16" i="3"/>
  <c r="O32" i="3"/>
  <c r="O46" i="3"/>
  <c r="O17" i="3"/>
  <c r="O33" i="3"/>
  <c r="O31" i="3"/>
  <c r="N18" i="3"/>
  <c r="N22" i="3"/>
  <c r="N26" i="3"/>
  <c r="N30" i="3"/>
  <c r="N34" i="3"/>
  <c r="N38" i="3"/>
  <c r="N42" i="3"/>
  <c r="N46" i="3"/>
  <c r="N50" i="3"/>
  <c r="N48" i="3"/>
  <c r="N19" i="3"/>
  <c r="N20" i="3"/>
  <c r="N21" i="3"/>
  <c r="N35" i="3"/>
  <c r="N37" i="3"/>
  <c r="N49" i="3"/>
  <c r="N51" i="3"/>
  <c r="N23" i="3"/>
  <c r="N24" i="3"/>
  <c r="N25" i="3"/>
  <c r="N39" i="3"/>
  <c r="N40" i="3"/>
  <c r="N41" i="3"/>
  <c r="N36" i="3"/>
  <c r="N29" i="3"/>
  <c r="N32" i="3"/>
  <c r="N17" i="3"/>
  <c r="N27" i="3"/>
  <c r="N44" i="3"/>
  <c r="N31" i="3"/>
  <c r="N33" i="3"/>
  <c r="N28" i="3"/>
  <c r="N43" i="3"/>
  <c r="N16" i="3"/>
  <c r="N47" i="3"/>
  <c r="N45" i="3"/>
  <c r="H20" i="2"/>
  <c r="H24" i="2"/>
  <c r="H28" i="2"/>
  <c r="H32" i="2"/>
  <c r="H36" i="2"/>
  <c r="H40" i="2"/>
  <c r="H44" i="2"/>
  <c r="H48" i="2"/>
  <c r="H51" i="2"/>
  <c r="H17" i="2"/>
  <c r="H18" i="2"/>
  <c r="H19" i="2"/>
  <c r="H33" i="2"/>
  <c r="H34" i="2"/>
  <c r="H35" i="2"/>
  <c r="H26" i="2"/>
  <c r="H49" i="2"/>
  <c r="H30" i="2"/>
  <c r="H37" i="2"/>
  <c r="H41" i="2"/>
  <c r="H21" i="2"/>
  <c r="H43" i="2"/>
  <c r="H46" i="2"/>
  <c r="H39" i="2"/>
  <c r="H25" i="2"/>
  <c r="H23" i="2"/>
  <c r="H29" i="2"/>
  <c r="H45" i="2"/>
  <c r="H27" i="2"/>
  <c r="H31" i="2"/>
  <c r="H38" i="2"/>
  <c r="H22" i="2"/>
  <c r="H47" i="2"/>
  <c r="H50" i="2"/>
  <c r="H42" i="2"/>
  <c r="H16" i="2"/>
  <c r="C23" i="2"/>
  <c r="C35" i="2"/>
  <c r="C47" i="2"/>
  <c r="C24" i="2"/>
  <c r="C36" i="2"/>
  <c r="C48" i="2"/>
  <c r="C25" i="2"/>
  <c r="C39" i="2"/>
  <c r="C26" i="2"/>
  <c r="C40" i="2"/>
  <c r="C27" i="2"/>
  <c r="C28" i="2"/>
  <c r="C41" i="2"/>
  <c r="C42" i="2"/>
  <c r="C21" i="2"/>
  <c r="C45" i="2"/>
  <c r="C22" i="2"/>
  <c r="C46" i="2"/>
  <c r="C49" i="2"/>
  <c r="C50" i="2"/>
  <c r="C31" i="2"/>
  <c r="C32" i="2"/>
  <c r="C29" i="2"/>
  <c r="C30" i="2"/>
  <c r="C51" i="2"/>
  <c r="C17" i="2"/>
  <c r="C33" i="2"/>
  <c r="C34" i="2"/>
  <c r="C37" i="2"/>
  <c r="C18" i="2"/>
  <c r="C20" i="2"/>
  <c r="C38" i="2"/>
  <c r="C16" i="2"/>
  <c r="C19" i="2"/>
  <c r="C43" i="2"/>
  <c r="C44" i="2"/>
  <c r="G20" i="2"/>
  <c r="G24" i="2"/>
  <c r="G28" i="2"/>
  <c r="G32" i="2"/>
  <c r="G36" i="2"/>
  <c r="G40" i="2"/>
  <c r="G44" i="2"/>
  <c r="G48" i="2"/>
  <c r="G17" i="2"/>
  <c r="G18" i="2"/>
  <c r="G19" i="2"/>
  <c r="G33" i="2"/>
  <c r="G34" i="2"/>
  <c r="G35" i="2"/>
  <c r="G29" i="2"/>
  <c r="G30" i="2"/>
  <c r="G31" i="2"/>
  <c r="G37" i="2"/>
  <c r="G41" i="2"/>
  <c r="G46" i="2"/>
  <c r="G39" i="2"/>
  <c r="G25" i="2"/>
  <c r="G23" i="2"/>
  <c r="G45" i="2"/>
  <c r="G51" i="2"/>
  <c r="G38" i="2"/>
  <c r="G42" i="2"/>
  <c r="G21" i="2"/>
  <c r="G43" i="2"/>
  <c r="G27" i="2"/>
  <c r="G50" i="2"/>
  <c r="G16" i="2"/>
  <c r="G47" i="2"/>
  <c r="G49" i="2"/>
  <c r="G22" i="2"/>
  <c r="G26" i="2"/>
  <c r="R17" i="2"/>
  <c r="R21" i="2"/>
  <c r="R25" i="2"/>
  <c r="R29" i="2"/>
  <c r="R33" i="2"/>
  <c r="R37" i="2"/>
  <c r="R41" i="2"/>
  <c r="R30" i="2"/>
  <c r="R31" i="2"/>
  <c r="R32" i="2"/>
  <c r="R16" i="2"/>
  <c r="R27" i="2"/>
  <c r="R28" i="2"/>
  <c r="R42" i="2"/>
  <c r="R45" i="2"/>
  <c r="R26" i="2"/>
  <c r="R43" i="2"/>
  <c r="R18" i="2"/>
  <c r="R40" i="2"/>
  <c r="R22" i="2"/>
  <c r="R47" i="2"/>
  <c r="R50" i="2"/>
  <c r="R20" i="2"/>
  <c r="R44" i="2"/>
  <c r="R35" i="2"/>
  <c r="R49" i="2"/>
  <c r="R19" i="2"/>
  <c r="R24" i="2"/>
  <c r="R39" i="2"/>
  <c r="R46" i="2"/>
  <c r="R23" i="2"/>
  <c r="R51" i="2"/>
  <c r="R34" i="2"/>
  <c r="R48" i="2"/>
  <c r="R36" i="2"/>
  <c r="R38" i="2"/>
  <c r="F17" i="2"/>
  <c r="F21" i="2"/>
  <c r="F25" i="2"/>
  <c r="F29" i="2"/>
  <c r="F33" i="2"/>
  <c r="F37" i="2"/>
  <c r="F41" i="2"/>
  <c r="F18" i="2"/>
  <c r="F19" i="2"/>
  <c r="F20" i="2"/>
  <c r="F34" i="2"/>
  <c r="F35" i="2"/>
  <c r="F36" i="2"/>
  <c r="F30" i="2"/>
  <c r="F31" i="2"/>
  <c r="F32" i="2"/>
  <c r="F16" i="2"/>
  <c r="F28" i="2"/>
  <c r="F46" i="2"/>
  <c r="F27" i="2"/>
  <c r="F22" i="2"/>
  <c r="F39" i="2"/>
  <c r="F43" i="2"/>
  <c r="F23" i="2"/>
  <c r="F45" i="2"/>
  <c r="F48" i="2"/>
  <c r="F51" i="2"/>
  <c r="F38" i="2"/>
  <c r="F42" i="2"/>
  <c r="F50" i="2"/>
  <c r="F40" i="2"/>
  <c r="F47" i="2"/>
  <c r="F44" i="2"/>
  <c r="F26" i="2"/>
  <c r="F24" i="2"/>
  <c r="F49" i="2"/>
  <c r="Q17" i="2"/>
  <c r="Q21" i="2"/>
  <c r="Q25" i="2"/>
  <c r="Q29" i="2"/>
  <c r="Q33" i="2"/>
  <c r="Q37" i="2"/>
  <c r="Q41" i="2"/>
  <c r="Q45" i="2"/>
  <c r="Q49" i="2"/>
  <c r="Q16" i="2"/>
  <c r="Q26" i="2"/>
  <c r="Q27" i="2"/>
  <c r="Q28" i="2"/>
  <c r="Q42" i="2"/>
  <c r="Q44" i="2"/>
  <c r="Q46" i="2"/>
  <c r="Q43" i="2"/>
  <c r="Q22" i="2"/>
  <c r="Q47" i="2"/>
  <c r="Q50" i="2"/>
  <c r="Q20" i="2"/>
  <c r="Q24" i="2"/>
  <c r="Q31" i="2"/>
  <c r="Q39" i="2"/>
  <c r="Q23" i="2"/>
  <c r="Q30" i="2"/>
  <c r="Q34" i="2"/>
  <c r="Q48" i="2"/>
  <c r="Q35" i="2"/>
  <c r="Q19" i="2"/>
  <c r="Q36" i="2"/>
  <c r="Q32" i="2"/>
  <c r="Q18" i="2"/>
  <c r="Q38" i="2"/>
  <c r="Q51" i="2"/>
  <c r="Q40" i="2"/>
  <c r="E17" i="2"/>
  <c r="E21" i="2"/>
  <c r="E25" i="2"/>
  <c r="E29" i="2"/>
  <c r="E33" i="2"/>
  <c r="E37" i="2"/>
  <c r="E41" i="2"/>
  <c r="E45" i="2"/>
  <c r="E49" i="2"/>
  <c r="E30" i="2"/>
  <c r="E31" i="2"/>
  <c r="E32" i="2"/>
  <c r="E16" i="2"/>
  <c r="E39" i="2"/>
  <c r="E43" i="2"/>
  <c r="E23" i="2"/>
  <c r="E48" i="2"/>
  <c r="E51" i="2"/>
  <c r="E38" i="2"/>
  <c r="E42" i="2"/>
  <c r="E18" i="2"/>
  <c r="E40" i="2"/>
  <c r="E47" i="2"/>
  <c r="E26" i="2"/>
  <c r="E19" i="2"/>
  <c r="E27" i="2"/>
  <c r="E34" i="2"/>
  <c r="E36" i="2"/>
  <c r="E50" i="2"/>
  <c r="E22" i="2"/>
  <c r="E20" i="2"/>
  <c r="E28" i="2"/>
  <c r="E46" i="2"/>
  <c r="E35" i="2"/>
  <c r="E24" i="2"/>
  <c r="E44" i="2"/>
  <c r="P17" i="2"/>
  <c r="P21" i="2"/>
  <c r="P25" i="2"/>
  <c r="P29" i="2"/>
  <c r="P33" i="2"/>
  <c r="P37" i="2"/>
  <c r="P41" i="2"/>
  <c r="P45" i="2"/>
  <c r="P49" i="2"/>
  <c r="P26" i="2"/>
  <c r="P27" i="2"/>
  <c r="P28" i="2"/>
  <c r="P42" i="2"/>
  <c r="P43" i="2"/>
  <c r="P44" i="2"/>
  <c r="P46" i="2"/>
  <c r="P22" i="2"/>
  <c r="P23" i="2"/>
  <c r="P24" i="2"/>
  <c r="P38" i="2"/>
  <c r="P39" i="2"/>
  <c r="P40" i="2"/>
  <c r="P47" i="2"/>
  <c r="P20" i="2"/>
  <c r="P31" i="2"/>
  <c r="P35" i="2"/>
  <c r="P16" i="2"/>
  <c r="P19" i="2"/>
  <c r="P34" i="2"/>
  <c r="P48" i="2"/>
  <c r="P51" i="2"/>
  <c r="P30" i="2"/>
  <c r="P32" i="2"/>
  <c r="P36" i="2"/>
  <c r="P18" i="2"/>
  <c r="P50" i="2"/>
  <c r="S20" i="2"/>
  <c r="S24" i="2"/>
  <c r="S28" i="2"/>
  <c r="S32" i="2"/>
  <c r="S36" i="2"/>
  <c r="S40" i="2"/>
  <c r="S44" i="2"/>
  <c r="S48" i="2"/>
  <c r="S29" i="2"/>
  <c r="S30" i="2"/>
  <c r="S31" i="2"/>
  <c r="S16" i="2"/>
  <c r="S25" i="2"/>
  <c r="S26" i="2"/>
  <c r="S27" i="2"/>
  <c r="S41" i="2"/>
  <c r="S42" i="2"/>
  <c r="S22" i="2"/>
  <c r="S47" i="2"/>
  <c r="S50" i="2"/>
  <c r="S33" i="2"/>
  <c r="S21" i="2"/>
  <c r="S19" i="2"/>
  <c r="S18" i="2"/>
  <c r="S37" i="2"/>
  <c r="S35" i="2"/>
  <c r="S49" i="2"/>
  <c r="S17" i="2"/>
  <c r="S39" i="2"/>
  <c r="S46" i="2"/>
  <c r="S43" i="2"/>
  <c r="S23" i="2"/>
  <c r="S45" i="2"/>
  <c r="S38" i="2"/>
  <c r="S51" i="2"/>
  <c r="S34" i="2"/>
  <c r="O18" i="2"/>
  <c r="O22" i="2"/>
  <c r="O26" i="2"/>
  <c r="O30" i="2"/>
  <c r="O34" i="2"/>
  <c r="O38" i="2"/>
  <c r="O42" i="2"/>
  <c r="O27" i="2"/>
  <c r="O28" i="2"/>
  <c r="O29" i="2"/>
  <c r="O43" i="2"/>
  <c r="O46" i="2"/>
  <c r="O23" i="2"/>
  <c r="O24" i="2"/>
  <c r="O25" i="2"/>
  <c r="O39" i="2"/>
  <c r="O40" i="2"/>
  <c r="O41" i="2"/>
  <c r="O45" i="2"/>
  <c r="O47" i="2"/>
  <c r="O48" i="2"/>
  <c r="O44" i="2"/>
  <c r="O31" i="2"/>
  <c r="O35" i="2"/>
  <c r="O33" i="2"/>
  <c r="O37" i="2"/>
  <c r="O32" i="2"/>
  <c r="O51" i="2"/>
  <c r="O16" i="2"/>
  <c r="O49" i="2"/>
  <c r="O19" i="2"/>
  <c r="O17" i="2"/>
  <c r="O21" i="2"/>
  <c r="O36" i="2"/>
  <c r="O50" i="2"/>
  <c r="O20" i="2"/>
  <c r="N18" i="2"/>
  <c r="N22" i="2"/>
  <c r="N26" i="2"/>
  <c r="N30" i="2"/>
  <c r="N34" i="2"/>
  <c r="N38" i="2"/>
  <c r="N42" i="2"/>
  <c r="N46" i="2"/>
  <c r="N50" i="2"/>
  <c r="N43" i="2"/>
  <c r="N44" i="2"/>
  <c r="N23" i="2"/>
  <c r="N24" i="2"/>
  <c r="N25" i="2"/>
  <c r="N39" i="2"/>
  <c r="N40" i="2"/>
  <c r="N41" i="2"/>
  <c r="N45" i="2"/>
  <c r="N47" i="2"/>
  <c r="N48" i="2"/>
  <c r="N29" i="2"/>
  <c r="N35" i="2"/>
  <c r="N33" i="2"/>
  <c r="N16" i="2"/>
  <c r="N19" i="2"/>
  <c r="N17" i="2"/>
  <c r="N36" i="2"/>
  <c r="N37" i="2"/>
  <c r="N49" i="2"/>
  <c r="N21" i="2"/>
  <c r="N28" i="2"/>
  <c r="N32" i="2"/>
  <c r="N51" i="2"/>
  <c r="N20" i="2"/>
  <c r="N31" i="2"/>
  <c r="N27" i="2"/>
  <c r="M18" i="2"/>
  <c r="M22" i="2"/>
  <c r="M26" i="2"/>
  <c r="M30" i="2"/>
  <c r="M34" i="2"/>
  <c r="M38" i="2"/>
  <c r="M42" i="2"/>
  <c r="M46" i="2"/>
  <c r="M50" i="2"/>
  <c r="M44" i="2"/>
  <c r="M23" i="2"/>
  <c r="M24" i="2"/>
  <c r="M25" i="2"/>
  <c r="M39" i="2"/>
  <c r="M40" i="2"/>
  <c r="M41" i="2"/>
  <c r="M45" i="2"/>
  <c r="M47" i="2"/>
  <c r="M48" i="2"/>
  <c r="M49" i="2"/>
  <c r="M51" i="2"/>
  <c r="M19" i="2"/>
  <c r="M20" i="2"/>
  <c r="M21" i="2"/>
  <c r="M35" i="2"/>
  <c r="M36" i="2"/>
  <c r="M37" i="2"/>
  <c r="M33" i="2"/>
  <c r="M16" i="2"/>
  <c r="M28" i="2"/>
  <c r="M43" i="2"/>
  <c r="M17" i="2"/>
  <c r="M32" i="2"/>
  <c r="M27" i="2"/>
  <c r="M29" i="2"/>
  <c r="M31" i="2"/>
  <c r="L19" i="2"/>
  <c r="L23" i="2"/>
  <c r="L27" i="2"/>
  <c r="L31" i="2"/>
  <c r="L35" i="2"/>
  <c r="L39" i="2"/>
  <c r="L24" i="2"/>
  <c r="L25" i="2"/>
  <c r="L26" i="2"/>
  <c r="L40" i="2"/>
  <c r="L41" i="2"/>
  <c r="L42" i="2"/>
  <c r="L45" i="2"/>
  <c r="L47" i="2"/>
  <c r="L46" i="2"/>
  <c r="L48" i="2"/>
  <c r="L49" i="2"/>
  <c r="L51" i="2"/>
  <c r="L21" i="2"/>
  <c r="L22" i="2"/>
  <c r="L36" i="2"/>
  <c r="L37" i="2"/>
  <c r="L38" i="2"/>
  <c r="L50" i="2"/>
  <c r="L20" i="2"/>
  <c r="L17" i="2"/>
  <c r="L44" i="2"/>
  <c r="L32" i="2"/>
  <c r="L30" i="2"/>
  <c r="L18" i="2"/>
  <c r="L28" i="2"/>
  <c r="L34" i="2"/>
  <c r="L43" i="2"/>
  <c r="L16" i="2"/>
  <c r="L33" i="2"/>
  <c r="L29" i="2"/>
  <c r="K35" i="2"/>
  <c r="K19" i="2"/>
  <c r="K23" i="2"/>
  <c r="K27" i="2"/>
  <c r="K31" i="2"/>
  <c r="K39" i="2"/>
  <c r="K43" i="2"/>
  <c r="K47" i="2"/>
  <c r="K51" i="2"/>
  <c r="K46" i="2"/>
  <c r="K48" i="2"/>
  <c r="K49" i="2"/>
  <c r="K20" i="2"/>
  <c r="K21" i="2"/>
  <c r="K22" i="2"/>
  <c r="K36" i="2"/>
  <c r="K37" i="2"/>
  <c r="K38" i="2"/>
  <c r="K50" i="2"/>
  <c r="K42" i="2"/>
  <c r="K17" i="2"/>
  <c r="K24" i="2"/>
  <c r="K44" i="2"/>
  <c r="K28" i="2"/>
  <c r="K26" i="2"/>
  <c r="K34" i="2"/>
  <c r="K41" i="2"/>
  <c r="K29" i="2"/>
  <c r="K32" i="2"/>
  <c r="K30" i="2"/>
  <c r="K18" i="2"/>
  <c r="K25" i="2"/>
  <c r="K40" i="2"/>
  <c r="K45" i="2"/>
  <c r="K33" i="2"/>
  <c r="K16" i="2"/>
  <c r="J19" i="2"/>
  <c r="J23" i="2"/>
  <c r="J27" i="2"/>
  <c r="J31" i="2"/>
  <c r="J35" i="2"/>
  <c r="J39" i="2"/>
  <c r="J43" i="2"/>
  <c r="J47" i="2"/>
  <c r="J51" i="2"/>
  <c r="J16" i="2"/>
  <c r="J49" i="2"/>
  <c r="J20" i="2"/>
  <c r="J21" i="2"/>
  <c r="J22" i="2"/>
  <c r="J36" i="2"/>
  <c r="J37" i="2"/>
  <c r="J38" i="2"/>
  <c r="J50" i="2"/>
  <c r="J17" i="2"/>
  <c r="J18" i="2"/>
  <c r="J33" i="2"/>
  <c r="J34" i="2"/>
  <c r="J32" i="2"/>
  <c r="J24" i="2"/>
  <c r="J44" i="2"/>
  <c r="J28" i="2"/>
  <c r="J26" i="2"/>
  <c r="J30" i="2"/>
  <c r="J46" i="2"/>
  <c r="J25" i="2"/>
  <c r="J29" i="2"/>
  <c r="J45" i="2"/>
  <c r="J41" i="2"/>
  <c r="J48" i="2"/>
  <c r="J40" i="2"/>
  <c r="J42" i="2"/>
  <c r="I16" i="2"/>
  <c r="I20" i="2"/>
  <c r="I24" i="2"/>
  <c r="I28" i="2"/>
  <c r="I32" i="2"/>
  <c r="I36" i="2"/>
  <c r="I40" i="2"/>
  <c r="I21" i="2"/>
  <c r="I22" i="2"/>
  <c r="I23" i="2"/>
  <c r="I37" i="2"/>
  <c r="I38" i="2"/>
  <c r="I39" i="2"/>
  <c r="I50" i="2"/>
  <c r="I51" i="2"/>
  <c r="I17" i="2"/>
  <c r="I18" i="2"/>
  <c r="I19" i="2"/>
  <c r="I34" i="2"/>
  <c r="I35" i="2"/>
  <c r="I33" i="2"/>
  <c r="I26" i="2"/>
  <c r="I49" i="2"/>
  <c r="I41" i="2"/>
  <c r="I48" i="2"/>
  <c r="I29" i="2"/>
  <c r="I45" i="2"/>
  <c r="I31" i="2"/>
  <c r="I30" i="2"/>
  <c r="I46" i="2"/>
  <c r="I43" i="2"/>
  <c r="I25" i="2"/>
  <c r="I27" i="2"/>
  <c r="I47" i="2"/>
  <c r="I42" i="2"/>
  <c r="I44" i="2"/>
  <c r="C29" i="1"/>
  <c r="C41" i="1"/>
  <c r="C30" i="1"/>
  <c r="C20" i="1"/>
  <c r="C44" i="1"/>
  <c r="C21" i="1"/>
  <c r="C34" i="1"/>
  <c r="C35" i="1"/>
  <c r="C47" i="1"/>
  <c r="C36" i="1"/>
  <c r="C25" i="1"/>
  <c r="C49" i="1"/>
  <c r="C26" i="1"/>
  <c r="C50" i="1"/>
  <c r="C16" i="1"/>
  <c r="C51" i="1"/>
  <c r="C28" i="1"/>
  <c r="C18" i="1"/>
  <c r="C42" i="1"/>
  <c r="C32" i="1"/>
  <c r="C33" i="1"/>
  <c r="C22" i="1"/>
  <c r="C46" i="1"/>
  <c r="C23" i="1"/>
  <c r="C24" i="1"/>
  <c r="C48" i="1"/>
  <c r="C37" i="1"/>
  <c r="C17" i="1"/>
  <c r="C38" i="1"/>
  <c r="C27" i="1"/>
  <c r="C39" i="1"/>
  <c r="C40" i="1"/>
  <c r="C19" i="1"/>
  <c r="C31" i="1"/>
  <c r="C43" i="1"/>
  <c r="C45" i="1"/>
  <c r="D20" i="4"/>
  <c r="D23" i="4"/>
  <c r="D34" i="4"/>
  <c r="D27" i="4"/>
  <c r="D24" i="4"/>
  <c r="D17" i="4"/>
  <c r="D39" i="4"/>
  <c r="D18" i="4"/>
  <c r="D37" i="4"/>
  <c r="D19" i="4"/>
  <c r="D46" i="4"/>
  <c r="D50" i="4"/>
  <c r="D48" i="4"/>
  <c r="D42" i="4"/>
  <c r="D40" i="4"/>
  <c r="D47" i="4"/>
  <c r="D43" i="4"/>
  <c r="D41" i="4"/>
  <c r="D35" i="4"/>
  <c r="D38" i="4"/>
  <c r="D16" i="4"/>
  <c r="D30" i="4"/>
  <c r="D26" i="4"/>
  <c r="D44" i="4"/>
  <c r="D21" i="4"/>
  <c r="D28" i="4"/>
  <c r="D33" i="4"/>
  <c r="D45" i="4"/>
  <c r="D31" i="4"/>
  <c r="D32" i="4"/>
  <c r="D25" i="4"/>
  <c r="D36" i="4"/>
  <c r="D22" i="4"/>
  <c r="D51" i="4"/>
  <c r="D49" i="4"/>
  <c r="D29" i="4"/>
  <c r="D42" i="2"/>
  <c r="D41" i="2"/>
  <c r="D49" i="2"/>
  <c r="D30" i="2"/>
  <c r="D48" i="2"/>
  <c r="D33" i="2"/>
  <c r="D38" i="2"/>
  <c r="D25" i="2"/>
  <c r="D51" i="2"/>
  <c r="D45" i="2"/>
  <c r="D35" i="2"/>
  <c r="D47" i="2"/>
  <c r="D46" i="2"/>
  <c r="D40" i="2"/>
  <c r="D26" i="2"/>
  <c r="D17" i="2"/>
  <c r="D27" i="2"/>
  <c r="D39" i="2"/>
  <c r="D37" i="2"/>
  <c r="D31" i="2"/>
  <c r="D24" i="2"/>
  <c r="D28" i="2"/>
  <c r="D34" i="2"/>
  <c r="D18" i="2"/>
  <c r="D21" i="2"/>
  <c r="D32" i="2"/>
  <c r="D22" i="2"/>
  <c r="D19" i="2"/>
  <c r="D20" i="2"/>
  <c r="D16" i="2"/>
  <c r="D43" i="2"/>
  <c r="D23" i="2"/>
  <c r="D36" i="2"/>
  <c r="D44" i="2"/>
  <c r="D50" i="2"/>
  <c r="D29" i="2"/>
  <c r="D40" i="3"/>
  <c r="D22" i="3"/>
  <c r="D46" i="3"/>
  <c r="D39" i="3"/>
  <c r="D27" i="3"/>
  <c r="D26" i="3"/>
  <c r="D17" i="3"/>
  <c r="D25" i="3"/>
  <c r="D45" i="3"/>
  <c r="D19" i="3"/>
  <c r="D36" i="3"/>
  <c r="D33" i="3"/>
  <c r="D18" i="3"/>
  <c r="D21" i="3"/>
  <c r="D30" i="3"/>
  <c r="D35" i="3"/>
  <c r="D50" i="3"/>
  <c r="D37" i="3"/>
  <c r="D49" i="3"/>
  <c r="D31" i="3"/>
  <c r="D48" i="3"/>
  <c r="D16" i="3"/>
  <c r="D42" i="3"/>
  <c r="D24" i="3"/>
  <c r="D43" i="3"/>
  <c r="D32" i="3"/>
  <c r="D34" i="3"/>
  <c r="D44" i="3"/>
  <c r="D23" i="3"/>
  <c r="D41" i="3"/>
  <c r="D28" i="3"/>
  <c r="D38" i="3"/>
  <c r="D51" i="3"/>
  <c r="D47" i="3"/>
  <c r="D20" i="3"/>
  <c r="D29" i="3"/>
  <c r="D18" i="1"/>
  <c r="D50" i="1"/>
  <c r="D27" i="1"/>
  <c r="D44" i="1"/>
  <c r="D28" i="1"/>
  <c r="D22" i="1"/>
  <c r="D23" i="1"/>
  <c r="D24" i="1"/>
  <c r="D45" i="1"/>
  <c r="D43" i="1"/>
  <c r="D41" i="1"/>
  <c r="D48" i="1"/>
  <c r="D42" i="1"/>
  <c r="D26" i="1"/>
  <c r="D16" i="1"/>
  <c r="D40" i="1"/>
  <c r="D51" i="1"/>
  <c r="D47" i="1"/>
  <c r="D33" i="1"/>
  <c r="D21" i="1"/>
  <c r="D35" i="1"/>
  <c r="D19" i="1"/>
  <c r="D34" i="1"/>
  <c r="D49" i="1"/>
  <c r="D46" i="1"/>
  <c r="D39" i="1"/>
  <c r="D38" i="1"/>
  <c r="D36" i="1"/>
  <c r="D20" i="1"/>
  <c r="D17" i="1"/>
  <c r="D32" i="1"/>
  <c r="D30" i="1"/>
  <c r="D37" i="1"/>
  <c r="D25" i="1"/>
  <c r="D31" i="1"/>
  <c r="D29" i="1"/>
</calcChain>
</file>

<file path=xl/sharedStrings.xml><?xml version="1.0" encoding="utf-8"?>
<sst xmlns="http://schemas.openxmlformats.org/spreadsheetml/2006/main" count="282" uniqueCount="24">
  <si>
    <t>Material</t>
  </si>
  <si>
    <t>Year</t>
  </si>
  <si>
    <t>nre</t>
  </si>
  <si>
    <t>imports</t>
  </si>
  <si>
    <t>pm</t>
  </si>
  <si>
    <t>exports</t>
  </si>
  <si>
    <t>dis flow</t>
  </si>
  <si>
    <t>tem</t>
  </si>
  <si>
    <t>matuse</t>
  </si>
  <si>
    <t>mu2wt</t>
  </si>
  <si>
    <t>mu2ma</t>
  </si>
  <si>
    <t>wt2te</t>
  </si>
  <si>
    <t>te2air</t>
  </si>
  <si>
    <t>te2water</t>
  </si>
  <si>
    <t>wt2land</t>
  </si>
  <si>
    <t>wt2rec</t>
  </si>
  <si>
    <t>wt2back</t>
  </si>
  <si>
    <t>rec2pm</t>
  </si>
  <si>
    <t>back2pm</t>
  </si>
  <si>
    <t>DMI</t>
  </si>
  <si>
    <t>Biomass</t>
  </si>
  <si>
    <t>Metal ores (gross ores)</t>
  </si>
  <si>
    <t>Non-metallic minerals</t>
  </si>
  <si>
    <t>Fossil energy materials/carriers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</si>
</sst>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sz val="11"/>
      <color theme="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" fontId="2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1" fontId="2" fillId="0" borderId="0" xfId="0" applyNumberFormat="1" applyFont="1"/>
    <xf numFmtId="1" fontId="5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1" fontId="5" fillId="0" borderId="0" xfId="0" applyNumberFormat="1" applyFont="1"/>
  </cellXfs>
  <cellStyles count="2">
    <cellStyle name="Normal" xfId="0" builtinId="0"/>
    <cellStyle name="Normal 2" xfId="1" xr:uid="{93740240-6050-4AC6-9D8B-A672326FCC7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"/>
  <sheetViews>
    <sheetView zoomScale="47" workbookViewId="0">
      <selection activeCell="C16" sqref="C16:T52"/>
    </sheetView>
  </sheetViews>
  <sheetFormatPr defaultColWidth="13.3046875" defaultRowHeight="14.6" x14ac:dyDescent="0.4"/>
  <cols>
    <col min="3" max="3" width="14" bestFit="1" customWidth="1"/>
    <col min="4" max="4" width="13.3046875" bestFit="1" customWidth="1"/>
    <col min="5" max="5" width="14" bestFit="1" customWidth="1"/>
    <col min="6" max="7" width="13.3046875" bestFit="1" customWidth="1"/>
    <col min="8" max="8" width="14" bestFit="1" customWidth="1"/>
    <col min="9" max="12" width="13.3046875" bestFit="1" customWidth="1"/>
    <col min="13" max="13" width="14" bestFit="1" customWidth="1"/>
    <col min="14" max="18" width="13.3046875" bestFit="1" customWidth="1"/>
  </cols>
  <sheetData>
    <row r="1" spans="1:2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6" t="s">
        <v>19</v>
      </c>
      <c r="V1" s="8"/>
      <c r="W1" s="7"/>
      <c r="Y1" s="8"/>
    </row>
    <row r="2" spans="1:25" x14ac:dyDescent="0.4">
      <c r="A2" t="s">
        <v>20</v>
      </c>
      <c r="B2" s="4">
        <v>2010</v>
      </c>
      <c r="C2" s="5">
        <v>1457143.1</v>
      </c>
      <c r="D2" s="5">
        <v>160898.158</v>
      </c>
      <c r="E2" s="5">
        <v>1748362</v>
      </c>
      <c r="F2" s="5">
        <v>160017.51300000001</v>
      </c>
      <c r="G2" s="5">
        <v>57348</v>
      </c>
      <c r="H2" s="5">
        <v>1175727</v>
      </c>
      <c r="I2" s="5">
        <v>423959</v>
      </c>
      <c r="J2" s="5">
        <v>257050</v>
      </c>
      <c r="K2" s="5">
        <v>166909</v>
      </c>
      <c r="L2" s="5">
        <v>68645</v>
      </c>
      <c r="M2" s="5">
        <v>1158867</v>
      </c>
      <c r="N2" s="5">
        <v>16860</v>
      </c>
      <c r="O2" s="5">
        <v>58084</v>
      </c>
      <c r="P2" s="5">
        <v>129798</v>
      </c>
      <c r="Q2" s="5">
        <v>523</v>
      </c>
      <c r="R2" s="5">
        <v>129798</v>
      </c>
      <c r="S2" s="4">
        <v>523</v>
      </c>
      <c r="T2" s="2">
        <f t="shared" ref="T2:T33" si="0">C2+D2</f>
        <v>1618041.2580000001</v>
      </c>
    </row>
    <row r="3" spans="1:25" x14ac:dyDescent="0.4">
      <c r="A3" t="s">
        <v>20</v>
      </c>
      <c r="B3" s="4">
        <v>2011</v>
      </c>
      <c r="C3" s="5">
        <v>1511922.8589999999</v>
      </c>
      <c r="D3" s="5">
        <v>168491.98699999999</v>
      </c>
      <c r="E3" s="5">
        <v>1812303</v>
      </c>
      <c r="F3" s="5">
        <v>161356.05100000001</v>
      </c>
      <c r="G3" s="5">
        <v>57593</v>
      </c>
      <c r="H3" s="5">
        <v>1145850</v>
      </c>
      <c r="I3" s="5">
        <v>517215</v>
      </c>
      <c r="J3" s="5">
        <v>253613</v>
      </c>
      <c r="K3" s="5">
        <v>263602</v>
      </c>
      <c r="L3" s="5">
        <v>69780</v>
      </c>
      <c r="M3" s="5">
        <v>1129912</v>
      </c>
      <c r="N3" s="5">
        <v>15938</v>
      </c>
      <c r="O3" s="5">
        <v>51945</v>
      </c>
      <c r="P3" s="5">
        <v>131359</v>
      </c>
      <c r="Q3" s="5">
        <v>529</v>
      </c>
      <c r="R3" s="5">
        <v>131359</v>
      </c>
      <c r="S3" s="4">
        <v>529</v>
      </c>
      <c r="T3" s="2">
        <f t="shared" si="0"/>
        <v>1680414.8459999999</v>
      </c>
    </row>
    <row r="4" spans="1:25" x14ac:dyDescent="0.4">
      <c r="A4" t="s">
        <v>20</v>
      </c>
      <c r="B4" s="4">
        <v>2012</v>
      </c>
      <c r="C4" s="5">
        <v>1451790.58</v>
      </c>
      <c r="D4" s="5">
        <v>166749.54399999999</v>
      </c>
      <c r="E4" s="5">
        <v>1751995</v>
      </c>
      <c r="F4" s="5">
        <v>165922.44899999999</v>
      </c>
      <c r="G4" s="5">
        <v>57570</v>
      </c>
      <c r="H4" s="5">
        <v>1142486</v>
      </c>
      <c r="I4" s="5">
        <v>455944</v>
      </c>
      <c r="J4" s="5">
        <v>250176</v>
      </c>
      <c r="K4" s="5">
        <v>205768</v>
      </c>
      <c r="L4" s="5">
        <v>70915</v>
      </c>
      <c r="M4" s="5">
        <v>1126116</v>
      </c>
      <c r="N4" s="5">
        <v>16370</v>
      </c>
      <c r="O4" s="5">
        <v>45806</v>
      </c>
      <c r="P4" s="5">
        <v>132920</v>
      </c>
      <c r="Q4" s="5">
        <v>535</v>
      </c>
      <c r="R4" s="5">
        <v>132920</v>
      </c>
      <c r="S4" s="4">
        <v>535</v>
      </c>
      <c r="T4" s="2">
        <f t="shared" si="0"/>
        <v>1618540.1240000001</v>
      </c>
    </row>
    <row r="5" spans="1:25" x14ac:dyDescent="0.4">
      <c r="A5" t="s">
        <v>20</v>
      </c>
      <c r="B5" s="4">
        <v>2013</v>
      </c>
      <c r="C5" s="5">
        <v>1502535.253</v>
      </c>
      <c r="D5" s="5">
        <v>170788.01500000001</v>
      </c>
      <c r="E5" s="5">
        <v>1806739</v>
      </c>
      <c r="F5" s="5">
        <v>184390.139</v>
      </c>
      <c r="G5" s="5">
        <v>57555</v>
      </c>
      <c r="H5" s="5">
        <v>1175075</v>
      </c>
      <c r="I5" s="5">
        <v>458587</v>
      </c>
      <c r="J5" s="5">
        <v>245139</v>
      </c>
      <c r="K5" s="5">
        <v>213449</v>
      </c>
      <c r="L5" s="5">
        <v>69260</v>
      </c>
      <c r="M5" s="5">
        <v>1158559</v>
      </c>
      <c r="N5" s="5">
        <v>16516</v>
      </c>
      <c r="O5" s="5">
        <v>42463</v>
      </c>
      <c r="P5" s="5">
        <v>132930</v>
      </c>
      <c r="Q5" s="5">
        <v>485</v>
      </c>
      <c r="R5" s="5">
        <v>132930</v>
      </c>
      <c r="S5" s="4">
        <v>485</v>
      </c>
      <c r="T5" s="2">
        <f t="shared" si="0"/>
        <v>1673323.2680000002</v>
      </c>
    </row>
    <row r="6" spans="1:25" x14ac:dyDescent="0.4">
      <c r="A6" t="s">
        <v>20</v>
      </c>
      <c r="B6" s="4">
        <v>2014</v>
      </c>
      <c r="C6" s="5">
        <v>1595125.3559999999</v>
      </c>
      <c r="D6" s="5">
        <v>184870.26300000001</v>
      </c>
      <c r="E6" s="5">
        <v>1913368</v>
      </c>
      <c r="F6" s="5">
        <v>191894.52900000001</v>
      </c>
      <c r="G6" s="5">
        <v>62657</v>
      </c>
      <c r="H6" s="5">
        <v>1156682</v>
      </c>
      <c r="I6" s="5">
        <v>569199</v>
      </c>
      <c r="J6" s="5">
        <v>240101</v>
      </c>
      <c r="K6" s="5">
        <v>329098</v>
      </c>
      <c r="L6" s="5">
        <v>67610</v>
      </c>
      <c r="M6" s="5">
        <v>1140808</v>
      </c>
      <c r="N6" s="5">
        <v>15874</v>
      </c>
      <c r="O6" s="5">
        <v>39118</v>
      </c>
      <c r="P6" s="5">
        <v>132941</v>
      </c>
      <c r="Q6" s="5">
        <v>432</v>
      </c>
      <c r="R6" s="5">
        <v>132941</v>
      </c>
      <c r="S6" s="4">
        <v>432</v>
      </c>
      <c r="T6" s="2">
        <f t="shared" si="0"/>
        <v>1779995.6189999999</v>
      </c>
    </row>
    <row r="7" spans="1:25" x14ac:dyDescent="0.4">
      <c r="A7" t="s">
        <v>20</v>
      </c>
      <c r="B7" s="4">
        <v>2015</v>
      </c>
      <c r="C7" s="5">
        <v>1494907.3629999999</v>
      </c>
      <c r="D7" s="5">
        <v>184572.57699999999</v>
      </c>
      <c r="E7" s="5">
        <v>1817408</v>
      </c>
      <c r="F7" s="5">
        <v>201671.06899999999</v>
      </c>
      <c r="G7" s="5">
        <v>60352</v>
      </c>
      <c r="H7" s="5">
        <v>1120266</v>
      </c>
      <c r="I7" s="5">
        <v>503530</v>
      </c>
      <c r="J7" s="5">
        <v>242331</v>
      </c>
      <c r="K7" s="5">
        <v>261199</v>
      </c>
      <c r="L7" s="5">
        <v>68864</v>
      </c>
      <c r="M7" s="5">
        <v>1105611</v>
      </c>
      <c r="N7" s="5">
        <v>14655</v>
      </c>
      <c r="O7" s="5">
        <v>35540</v>
      </c>
      <c r="P7" s="5">
        <v>137482</v>
      </c>
      <c r="Q7" s="5">
        <v>446</v>
      </c>
      <c r="R7" s="5">
        <v>137482</v>
      </c>
      <c r="S7" s="4">
        <v>446</v>
      </c>
      <c r="T7" s="2">
        <f t="shared" si="0"/>
        <v>1679479.94</v>
      </c>
    </row>
    <row r="8" spans="1:25" x14ac:dyDescent="0.4">
      <c r="A8" t="s">
        <v>20</v>
      </c>
      <c r="B8" s="4">
        <v>2016</v>
      </c>
      <c r="C8" s="5">
        <v>1515208.4069999999</v>
      </c>
      <c r="D8" s="5">
        <v>190092.66500000001</v>
      </c>
      <c r="E8" s="5">
        <v>1847784</v>
      </c>
      <c r="F8" s="5">
        <v>203408.42800000001</v>
      </c>
      <c r="G8" s="5">
        <v>64598</v>
      </c>
      <c r="H8" s="5">
        <v>1163222</v>
      </c>
      <c r="I8" s="5">
        <v>487026</v>
      </c>
      <c r="J8" s="5">
        <v>244561</v>
      </c>
      <c r="K8" s="5">
        <v>242465</v>
      </c>
      <c r="L8" s="5">
        <v>70118</v>
      </c>
      <c r="M8" s="5">
        <v>1149085</v>
      </c>
      <c r="N8" s="5">
        <v>14137</v>
      </c>
      <c r="O8" s="5">
        <v>31961</v>
      </c>
      <c r="P8" s="5">
        <v>142022</v>
      </c>
      <c r="Q8" s="5">
        <v>460</v>
      </c>
      <c r="R8" s="5">
        <v>142022</v>
      </c>
      <c r="S8" s="4">
        <v>460</v>
      </c>
      <c r="T8" s="2">
        <f t="shared" si="0"/>
        <v>1705301.0719999999</v>
      </c>
    </row>
    <row r="9" spans="1:25" x14ac:dyDescent="0.4">
      <c r="A9" t="s">
        <v>20</v>
      </c>
      <c r="B9" s="4">
        <v>2017</v>
      </c>
      <c r="C9" s="5">
        <v>1568380.5530000001</v>
      </c>
      <c r="D9" s="5">
        <v>195477.94699999999</v>
      </c>
      <c r="E9" s="5">
        <v>1907111</v>
      </c>
      <c r="F9" s="5">
        <v>199786.90599999999</v>
      </c>
      <c r="G9" s="5">
        <v>59604</v>
      </c>
      <c r="H9" s="5">
        <v>1216839</v>
      </c>
      <c r="I9" s="5">
        <v>501172</v>
      </c>
      <c r="J9" s="5">
        <v>244149</v>
      </c>
      <c r="K9" s="5">
        <v>257023</v>
      </c>
      <c r="L9" s="5">
        <v>69712</v>
      </c>
      <c r="M9" s="5">
        <v>1202615</v>
      </c>
      <c r="N9" s="5">
        <v>14224</v>
      </c>
      <c r="O9" s="5">
        <v>31185</v>
      </c>
      <c r="P9" s="5">
        <v>142797</v>
      </c>
      <c r="Q9" s="5">
        <v>455</v>
      </c>
      <c r="R9" s="5">
        <v>142797</v>
      </c>
      <c r="S9" s="4">
        <v>455</v>
      </c>
      <c r="T9" s="2">
        <f t="shared" si="0"/>
        <v>1763858.5</v>
      </c>
    </row>
    <row r="10" spans="1:25" x14ac:dyDescent="0.4">
      <c r="A10" t="s">
        <v>20</v>
      </c>
      <c r="B10" s="4">
        <v>2018</v>
      </c>
      <c r="C10" s="5">
        <v>1495551.159</v>
      </c>
      <c r="D10" s="5">
        <v>207659.72399999999</v>
      </c>
      <c r="E10" s="5">
        <v>1847233</v>
      </c>
      <c r="F10" s="5">
        <v>195722.481</v>
      </c>
      <c r="G10" s="5">
        <v>60286</v>
      </c>
      <c r="H10" s="5">
        <v>1176680</v>
      </c>
      <c r="I10" s="5">
        <v>485526</v>
      </c>
      <c r="J10" s="5">
        <v>243736</v>
      </c>
      <c r="K10" s="5">
        <v>241790</v>
      </c>
      <c r="L10" s="5">
        <v>69305</v>
      </c>
      <c r="M10" s="5">
        <v>1163216</v>
      </c>
      <c r="N10" s="5">
        <v>13464</v>
      </c>
      <c r="O10" s="5">
        <v>30409</v>
      </c>
      <c r="P10" s="5">
        <v>143572</v>
      </c>
      <c r="Q10" s="5">
        <v>450</v>
      </c>
      <c r="R10" s="5">
        <v>143572</v>
      </c>
      <c r="S10" s="4">
        <v>450</v>
      </c>
      <c r="T10" s="2">
        <f t="shared" si="0"/>
        <v>1703210.8829999999</v>
      </c>
    </row>
    <row r="11" spans="1:25" x14ac:dyDescent="0.4">
      <c r="A11" t="s">
        <v>20</v>
      </c>
      <c r="B11" s="4">
        <v>2019</v>
      </c>
      <c r="C11" s="5">
        <v>1531104.6869999999</v>
      </c>
      <c r="D11" s="5">
        <v>211725.14</v>
      </c>
      <c r="E11" s="5">
        <v>1886418</v>
      </c>
      <c r="F11" s="5">
        <v>215191.52</v>
      </c>
      <c r="G11" s="5">
        <v>59747</v>
      </c>
      <c r="H11" s="5">
        <v>1194894</v>
      </c>
      <c r="I11" s="5">
        <v>488277</v>
      </c>
      <c r="J11" s="5">
        <v>239801</v>
      </c>
      <c r="K11" s="5">
        <v>248476</v>
      </c>
      <c r="L11" s="5">
        <v>68328</v>
      </c>
      <c r="M11" s="5">
        <v>1180970</v>
      </c>
      <c r="N11" s="5">
        <v>13924</v>
      </c>
      <c r="O11" s="5">
        <v>27884</v>
      </c>
      <c r="P11" s="5">
        <v>143088</v>
      </c>
      <c r="Q11" s="5">
        <v>501</v>
      </c>
      <c r="R11" s="5">
        <v>143088</v>
      </c>
      <c r="S11" s="4">
        <v>501</v>
      </c>
      <c r="T11" s="2">
        <f t="shared" si="0"/>
        <v>1742829.827</v>
      </c>
    </row>
    <row r="12" spans="1:25" x14ac:dyDescent="0.4">
      <c r="A12" t="s">
        <v>20</v>
      </c>
      <c r="B12" s="4">
        <v>2020</v>
      </c>
      <c r="C12" s="5">
        <v>1530862.422</v>
      </c>
      <c r="D12" s="5">
        <v>200601.734</v>
      </c>
      <c r="E12" s="5">
        <v>1874619</v>
      </c>
      <c r="F12" s="5">
        <v>227125.60399999999</v>
      </c>
      <c r="G12" s="5">
        <v>61719</v>
      </c>
      <c r="H12" s="5">
        <v>1203193</v>
      </c>
      <c r="I12" s="5">
        <v>452766</v>
      </c>
      <c r="J12" s="5">
        <v>235886</v>
      </c>
      <c r="K12" s="5">
        <v>216880</v>
      </c>
      <c r="L12" s="5">
        <v>67372</v>
      </c>
      <c r="M12" s="5">
        <v>1189937</v>
      </c>
      <c r="N12" s="5">
        <v>13256</v>
      </c>
      <c r="O12" s="5">
        <v>25359</v>
      </c>
      <c r="P12" s="5">
        <v>142604</v>
      </c>
      <c r="Q12" s="5">
        <v>551</v>
      </c>
      <c r="R12" s="5">
        <v>142604</v>
      </c>
      <c r="S12" s="4">
        <v>551</v>
      </c>
      <c r="T12" s="2">
        <f t="shared" si="0"/>
        <v>1731464.156</v>
      </c>
    </row>
    <row r="13" spans="1:25" x14ac:dyDescent="0.4">
      <c r="A13" t="s">
        <v>20</v>
      </c>
      <c r="B13" s="4">
        <v>2021</v>
      </c>
      <c r="C13" s="5">
        <v>1579931.209</v>
      </c>
      <c r="D13" s="5">
        <v>195459.15100000001</v>
      </c>
      <c r="E13" s="5">
        <v>1918540</v>
      </c>
      <c r="F13" s="5">
        <v>223531.671</v>
      </c>
      <c r="G13" s="5">
        <v>60389</v>
      </c>
      <c r="H13" s="5">
        <v>1249662</v>
      </c>
      <c r="I13" s="5">
        <v>454875</v>
      </c>
      <c r="J13" s="5">
        <v>233656</v>
      </c>
      <c r="K13" s="5">
        <v>221218</v>
      </c>
      <c r="L13" s="5">
        <v>66241</v>
      </c>
      <c r="M13" s="5">
        <v>1235699</v>
      </c>
      <c r="N13" s="5">
        <v>13963</v>
      </c>
      <c r="O13" s="5">
        <v>24266</v>
      </c>
      <c r="P13" s="5">
        <v>142626</v>
      </c>
      <c r="Q13" s="5">
        <v>524</v>
      </c>
      <c r="R13" s="5">
        <v>142626</v>
      </c>
      <c r="S13" s="4">
        <v>524</v>
      </c>
      <c r="T13" s="2">
        <f t="shared" si="0"/>
        <v>1775390.36</v>
      </c>
    </row>
    <row r="14" spans="1:25" x14ac:dyDescent="0.4">
      <c r="A14" t="s">
        <v>20</v>
      </c>
      <c r="B14" s="4">
        <v>2022</v>
      </c>
      <c r="C14" s="5">
        <v>1473578.8049999999</v>
      </c>
      <c r="D14" s="5">
        <v>206415.035</v>
      </c>
      <c r="E14" s="5">
        <v>1823143</v>
      </c>
      <c r="F14" s="5">
        <v>206641.40100000001</v>
      </c>
      <c r="G14" s="5">
        <v>58875</v>
      </c>
      <c r="H14" s="5">
        <v>1148560</v>
      </c>
      <c r="I14" s="5">
        <v>481200</v>
      </c>
      <c r="J14" s="5">
        <v>231138</v>
      </c>
      <c r="K14" s="5">
        <v>250062</v>
      </c>
      <c r="L14" s="5">
        <v>64817</v>
      </c>
      <c r="M14" s="5">
        <v>1136589</v>
      </c>
      <c r="N14" s="5">
        <v>11970</v>
      </c>
      <c r="O14" s="5">
        <v>23172</v>
      </c>
      <c r="P14" s="5">
        <v>142653</v>
      </c>
      <c r="Q14" s="5">
        <v>496</v>
      </c>
      <c r="R14" s="5">
        <v>142653</v>
      </c>
      <c r="S14" s="4">
        <v>496</v>
      </c>
      <c r="T14" s="2">
        <f t="shared" si="0"/>
        <v>1679993.8399999999</v>
      </c>
    </row>
    <row r="15" spans="1:25" x14ac:dyDescent="0.4">
      <c r="A15" t="s">
        <v>20</v>
      </c>
      <c r="B15" s="4">
        <v>2023</v>
      </c>
      <c r="C15" s="9">
        <v>1498892.966</v>
      </c>
      <c r="D15" s="9">
        <v>192647.89499999999</v>
      </c>
      <c r="E15" s="9">
        <v>1841060</v>
      </c>
      <c r="F15" s="9">
        <v>200807.603</v>
      </c>
      <c r="G15" s="9">
        <v>60377</v>
      </c>
      <c r="H15" s="9">
        <v>1175593</v>
      </c>
      <c r="I15" s="9">
        <v>474486</v>
      </c>
      <c r="J15" s="9">
        <v>239627</v>
      </c>
      <c r="K15" s="9">
        <v>234859</v>
      </c>
      <c r="L15" s="9">
        <v>69438</v>
      </c>
      <c r="M15" s="9">
        <v>1163574</v>
      </c>
      <c r="N15" s="9">
        <v>12020</v>
      </c>
      <c r="O15" s="9">
        <v>20670</v>
      </c>
      <c r="P15" s="9">
        <v>148970</v>
      </c>
      <c r="Q15" s="9">
        <v>549</v>
      </c>
      <c r="R15" s="9">
        <v>148970</v>
      </c>
      <c r="S15" s="10">
        <v>549</v>
      </c>
      <c r="T15" s="11">
        <f t="shared" si="0"/>
        <v>1691540.861</v>
      </c>
    </row>
    <row r="16" spans="1:25" x14ac:dyDescent="0.4">
      <c r="A16" t="s">
        <v>20</v>
      </c>
      <c r="B16" s="4">
        <v>2024</v>
      </c>
      <c r="C16" s="12">
        <f>(C$52-C$15)/($B$52-$B$15)*($B16-$B$15)+C$15</f>
        <v>1521965.3406891893</v>
      </c>
      <c r="D16" s="12">
        <f>(D$52-D$15)/($B$52-$B$15)*($B16-$B$15)+D$15</f>
        <v>195365.97677027027</v>
      </c>
      <c r="E16" s="12">
        <f t="shared" ref="E16:S17" si="1">(E$52-E$15)/($B$52-$B$15)*($B16-$B$15)+E$15</f>
        <v>1868616.9324324324</v>
      </c>
      <c r="F16" s="12">
        <f t="shared" si="1"/>
        <v>203479.83964864866</v>
      </c>
      <c r="G16" s="12">
        <f t="shared" si="1"/>
        <v>61161.567567567567</v>
      </c>
      <c r="H16" s="12">
        <f t="shared" si="1"/>
        <v>1193151.527027027</v>
      </c>
      <c r="I16" s="12">
        <f t="shared" si="1"/>
        <v>481979.83783783781</v>
      </c>
      <c r="J16" s="12">
        <f t="shared" si="1"/>
        <v>243048.52702702704</v>
      </c>
      <c r="K16" s="12">
        <f t="shared" si="1"/>
        <v>238931.3108108108</v>
      </c>
      <c r="L16" s="12">
        <f t="shared" si="1"/>
        <v>70387.459459459453</v>
      </c>
      <c r="M16" s="12">
        <f t="shared" si="1"/>
        <v>1180880.7162162163</v>
      </c>
      <c r="N16" s="12">
        <f t="shared" si="1"/>
        <v>12271.783783783783</v>
      </c>
      <c r="O16" s="12">
        <f t="shared" si="1"/>
        <v>21375.608108108107</v>
      </c>
      <c r="P16" s="12">
        <f t="shared" si="1"/>
        <v>150732.85135135136</v>
      </c>
      <c r="Q16" s="12">
        <f t="shared" si="1"/>
        <v>552.60810810810813</v>
      </c>
      <c r="R16" s="12">
        <f t="shared" si="1"/>
        <v>150732.85135135136</v>
      </c>
      <c r="S16" s="12">
        <f t="shared" si="1"/>
        <v>552.60810810810813</v>
      </c>
      <c r="T16" s="13">
        <f t="shared" si="0"/>
        <v>1717331.3174594594</v>
      </c>
      <c r="V16" s="2">
        <f>F15+G15+M15+N15+O15</f>
        <v>1457448.6030000001</v>
      </c>
    </row>
    <row r="17" spans="1:20" x14ac:dyDescent="0.4">
      <c r="A17" t="s">
        <v>20</v>
      </c>
      <c r="B17" s="4">
        <v>2025</v>
      </c>
      <c r="C17" s="12">
        <f>(C$52-C$15)/($B$52-$B$15)*($B17-$B$15)+C$15</f>
        <v>1545037.7153783783</v>
      </c>
      <c r="D17" s="12">
        <f>(D$52-D$15)/($B$52-$B$15)*($B17-$B$15)+D$15</f>
        <v>198084.05854054054</v>
      </c>
      <c r="E17" s="12">
        <f t="shared" si="1"/>
        <v>1896173.8648648649</v>
      </c>
      <c r="F17" s="12">
        <f t="shared" si="1"/>
        <v>206152.07629729729</v>
      </c>
      <c r="G17" s="12">
        <f t="shared" si="1"/>
        <v>61946.135135135133</v>
      </c>
      <c r="H17" s="12">
        <f t="shared" si="1"/>
        <v>1210710.054054054</v>
      </c>
      <c r="I17" s="12">
        <f t="shared" si="1"/>
        <v>489473.67567567568</v>
      </c>
      <c r="J17" s="12">
        <f t="shared" ref="E17:S34" si="2">(J$52-J$15)/($B$52-$B$15)*($B17-$B$15)+J$15</f>
        <v>246470.05405405405</v>
      </c>
      <c r="K17" s="12">
        <f t="shared" si="2"/>
        <v>243003.62162162163</v>
      </c>
      <c r="L17" s="12">
        <f t="shared" si="2"/>
        <v>71336.91891891892</v>
      </c>
      <c r="M17" s="12">
        <f t="shared" si="2"/>
        <v>1198187.4324324324</v>
      </c>
      <c r="N17" s="12">
        <f t="shared" si="2"/>
        <v>12523.567567567568</v>
      </c>
      <c r="O17" s="12">
        <f t="shared" si="2"/>
        <v>22081.216216216217</v>
      </c>
      <c r="P17" s="12">
        <f t="shared" si="2"/>
        <v>152495.70270270269</v>
      </c>
      <c r="Q17" s="12">
        <f t="shared" si="2"/>
        <v>556.21621621621625</v>
      </c>
      <c r="R17" s="12">
        <f t="shared" si="2"/>
        <v>152495.70270270269</v>
      </c>
      <c r="S17" s="12">
        <f t="shared" si="2"/>
        <v>556.21621621621625</v>
      </c>
      <c r="T17" s="13">
        <f t="shared" si="0"/>
        <v>1743121.7739189188</v>
      </c>
    </row>
    <row r="18" spans="1:20" x14ac:dyDescent="0.4">
      <c r="A18" t="s">
        <v>20</v>
      </c>
      <c r="B18" s="4">
        <v>2026</v>
      </c>
      <c r="C18" s="12">
        <f t="shared" ref="C18:C51" si="3">(C$52-C$15)/($B$52-$B$15)*($B18-$B$15)+C$15</f>
        <v>1568110.0900675675</v>
      </c>
      <c r="D18" s="12">
        <f>(D$52-D$15)/($B$52-$B$15)*($B18-$B$15)+D$15</f>
        <v>200802.14031081079</v>
      </c>
      <c r="E18" s="12">
        <f t="shared" si="2"/>
        <v>1923730.7972972973</v>
      </c>
      <c r="F18" s="12">
        <f t="shared" si="2"/>
        <v>208824.31294594595</v>
      </c>
      <c r="G18" s="12">
        <f t="shared" si="2"/>
        <v>62730.7027027027</v>
      </c>
      <c r="H18" s="12">
        <f t="shared" si="2"/>
        <v>1228268.5810810812</v>
      </c>
      <c r="I18" s="12">
        <f t="shared" si="2"/>
        <v>496967.51351351349</v>
      </c>
      <c r="J18" s="12">
        <f t="shared" si="2"/>
        <v>249891.58108108109</v>
      </c>
      <c r="K18" s="12">
        <f t="shared" si="2"/>
        <v>247075.93243243243</v>
      </c>
      <c r="L18" s="12">
        <f t="shared" si="2"/>
        <v>72286.378378378373</v>
      </c>
      <c r="M18" s="12">
        <f t="shared" si="2"/>
        <v>1215494.1486486488</v>
      </c>
      <c r="N18" s="12">
        <f t="shared" si="2"/>
        <v>12775.351351351352</v>
      </c>
      <c r="O18" s="12">
        <f t="shared" si="2"/>
        <v>22786.824324324323</v>
      </c>
      <c r="P18" s="12">
        <f t="shared" si="2"/>
        <v>154258.55405405405</v>
      </c>
      <c r="Q18" s="12">
        <f t="shared" si="2"/>
        <v>559.82432432432438</v>
      </c>
      <c r="R18" s="12">
        <f t="shared" si="2"/>
        <v>154258.55405405405</v>
      </c>
      <c r="S18" s="12">
        <f t="shared" si="2"/>
        <v>559.82432432432438</v>
      </c>
      <c r="T18" s="13">
        <f t="shared" si="0"/>
        <v>1768912.2303783784</v>
      </c>
    </row>
    <row r="19" spans="1:20" x14ac:dyDescent="0.4">
      <c r="A19" t="s">
        <v>20</v>
      </c>
      <c r="B19" s="4">
        <v>2027</v>
      </c>
      <c r="C19" s="12">
        <f t="shared" si="3"/>
        <v>1591182.4647567568</v>
      </c>
      <c r="D19" s="12">
        <f t="shared" ref="D19:D51" si="4">(D$52-D$15)/($B$52-$B$15)*($B19-$B$15)+D$15</f>
        <v>203520.22208108107</v>
      </c>
      <c r="E19" s="12">
        <f t="shared" si="2"/>
        <v>1951287.7297297297</v>
      </c>
      <c r="F19" s="12">
        <f t="shared" si="2"/>
        <v>211496.5495945946</v>
      </c>
      <c r="G19" s="12">
        <f t="shared" si="2"/>
        <v>63515.270270270274</v>
      </c>
      <c r="H19" s="12">
        <f t="shared" si="2"/>
        <v>1245827.1081081082</v>
      </c>
      <c r="I19" s="12">
        <f t="shared" si="2"/>
        <v>504461.35135135136</v>
      </c>
      <c r="J19" s="12">
        <f t="shared" si="2"/>
        <v>253313.10810810811</v>
      </c>
      <c r="K19" s="12">
        <f t="shared" si="2"/>
        <v>251148.24324324325</v>
      </c>
      <c r="L19" s="12">
        <f t="shared" si="2"/>
        <v>73235.83783783784</v>
      </c>
      <c r="M19" s="12">
        <f t="shared" si="2"/>
        <v>1232800.8648648649</v>
      </c>
      <c r="N19" s="12">
        <f t="shared" si="2"/>
        <v>13027.135135135135</v>
      </c>
      <c r="O19" s="12">
        <f t="shared" si="2"/>
        <v>23492.432432432433</v>
      </c>
      <c r="P19" s="12">
        <f t="shared" si="2"/>
        <v>156021.40540540541</v>
      </c>
      <c r="Q19" s="12">
        <f t="shared" si="2"/>
        <v>563.43243243243239</v>
      </c>
      <c r="R19" s="12">
        <f t="shared" si="2"/>
        <v>156021.40540540541</v>
      </c>
      <c r="S19" s="12">
        <f t="shared" si="2"/>
        <v>563.43243243243239</v>
      </c>
      <c r="T19" s="13">
        <f t="shared" si="0"/>
        <v>1794702.6868378378</v>
      </c>
    </row>
    <row r="20" spans="1:20" x14ac:dyDescent="0.4">
      <c r="A20" t="s">
        <v>20</v>
      </c>
      <c r="B20" s="4">
        <v>2028</v>
      </c>
      <c r="C20" s="12">
        <f t="shared" si="3"/>
        <v>1614254.839445946</v>
      </c>
      <c r="D20" s="12">
        <f t="shared" si="4"/>
        <v>206238.30385135135</v>
      </c>
      <c r="E20" s="12">
        <f t="shared" si="2"/>
        <v>1978844.6621621621</v>
      </c>
      <c r="F20" s="12">
        <f t="shared" si="2"/>
        <v>214168.78624324326</v>
      </c>
      <c r="G20" s="12">
        <f t="shared" si="2"/>
        <v>64299.83783783784</v>
      </c>
      <c r="H20" s="12">
        <f t="shared" si="2"/>
        <v>1263385.6351351351</v>
      </c>
      <c r="I20" s="12">
        <f t="shared" si="2"/>
        <v>511955.18918918917</v>
      </c>
      <c r="J20" s="12">
        <f t="shared" si="2"/>
        <v>256734.63513513515</v>
      </c>
      <c r="K20" s="12">
        <f t="shared" si="2"/>
        <v>255220.55405405405</v>
      </c>
      <c r="L20" s="12">
        <f t="shared" si="2"/>
        <v>74185.297297297293</v>
      </c>
      <c r="M20" s="12">
        <f t="shared" si="2"/>
        <v>1250107.5810810812</v>
      </c>
      <c r="N20" s="12">
        <f t="shared" si="2"/>
        <v>13278.918918918918</v>
      </c>
      <c r="O20" s="12">
        <f t="shared" si="2"/>
        <v>24198.04054054054</v>
      </c>
      <c r="P20" s="12">
        <f t="shared" si="2"/>
        <v>157784.25675675675</v>
      </c>
      <c r="Q20" s="12">
        <f t="shared" si="2"/>
        <v>567.04054054054052</v>
      </c>
      <c r="R20" s="12">
        <f t="shared" si="2"/>
        <v>157784.25675675675</v>
      </c>
      <c r="S20" s="12">
        <f t="shared" si="2"/>
        <v>567.04054054054052</v>
      </c>
      <c r="T20" s="13">
        <f t="shared" si="0"/>
        <v>1820493.1432972974</v>
      </c>
    </row>
    <row r="21" spans="1:20" x14ac:dyDescent="0.4">
      <c r="A21" t="s">
        <v>20</v>
      </c>
      <c r="B21" s="4">
        <v>2029</v>
      </c>
      <c r="C21" s="12">
        <f t="shared" si="3"/>
        <v>1637327.2141351351</v>
      </c>
      <c r="D21" s="12">
        <f t="shared" si="4"/>
        <v>208956.38562162162</v>
      </c>
      <c r="E21" s="12">
        <f t="shared" si="2"/>
        <v>2006401.5945945946</v>
      </c>
      <c r="F21" s="12">
        <f t="shared" si="2"/>
        <v>216841.02289189189</v>
      </c>
      <c r="G21" s="12">
        <f t="shared" si="2"/>
        <v>65084.405405405407</v>
      </c>
      <c r="H21" s="12">
        <f t="shared" si="2"/>
        <v>1280944.1621621621</v>
      </c>
      <c r="I21" s="12">
        <f t="shared" si="2"/>
        <v>519449.02702702704</v>
      </c>
      <c r="J21" s="12">
        <f t="shared" si="2"/>
        <v>260156.16216216216</v>
      </c>
      <c r="K21" s="12">
        <f t="shared" si="2"/>
        <v>259292.86486486485</v>
      </c>
      <c r="L21" s="12">
        <f t="shared" si="2"/>
        <v>75134.75675675676</v>
      </c>
      <c r="M21" s="12">
        <f t="shared" si="2"/>
        <v>1267414.2972972973</v>
      </c>
      <c r="N21" s="12">
        <f t="shared" si="2"/>
        <v>13530.702702702703</v>
      </c>
      <c r="O21" s="12">
        <f t="shared" si="2"/>
        <v>24903.648648648646</v>
      </c>
      <c r="P21" s="12">
        <f t="shared" si="2"/>
        <v>159547.10810810811</v>
      </c>
      <c r="Q21" s="12">
        <f t="shared" si="2"/>
        <v>570.64864864864865</v>
      </c>
      <c r="R21" s="12">
        <f t="shared" si="2"/>
        <v>159547.10810810811</v>
      </c>
      <c r="S21" s="12">
        <f t="shared" si="2"/>
        <v>570.64864864864865</v>
      </c>
      <c r="T21" s="13">
        <f t="shared" si="0"/>
        <v>1846283.5997567568</v>
      </c>
    </row>
    <row r="22" spans="1:20" x14ac:dyDescent="0.4">
      <c r="A22" t="s">
        <v>20</v>
      </c>
      <c r="B22" s="4">
        <v>2030</v>
      </c>
      <c r="C22" s="12">
        <f t="shared" si="3"/>
        <v>1660399.5888243243</v>
      </c>
      <c r="D22" s="12">
        <f t="shared" si="4"/>
        <v>211674.46739189187</v>
      </c>
      <c r="E22" s="12">
        <f t="shared" si="2"/>
        <v>2033958.527027027</v>
      </c>
      <c r="F22" s="12">
        <f t="shared" si="2"/>
        <v>219513.25954054054</v>
      </c>
      <c r="G22" s="12">
        <f t="shared" si="2"/>
        <v>65868.972972972973</v>
      </c>
      <c r="H22" s="12">
        <f t="shared" si="2"/>
        <v>1298502.6891891891</v>
      </c>
      <c r="I22" s="12">
        <f t="shared" si="2"/>
        <v>526942.86486486485</v>
      </c>
      <c r="J22" s="12">
        <f t="shared" si="2"/>
        <v>263577.68918918917</v>
      </c>
      <c r="K22" s="12">
        <f t="shared" si="2"/>
        <v>263365.17567567568</v>
      </c>
      <c r="L22" s="12">
        <f t="shared" si="2"/>
        <v>76084.216216216213</v>
      </c>
      <c r="M22" s="12">
        <f t="shared" si="2"/>
        <v>1284721.0135135136</v>
      </c>
      <c r="N22" s="12">
        <f t="shared" si="2"/>
        <v>13782.486486486487</v>
      </c>
      <c r="O22" s="12">
        <f t="shared" si="2"/>
        <v>25609.256756756757</v>
      </c>
      <c r="P22" s="12">
        <f t="shared" si="2"/>
        <v>161309.95945945947</v>
      </c>
      <c r="Q22" s="12">
        <f t="shared" si="2"/>
        <v>574.25675675675677</v>
      </c>
      <c r="R22" s="12">
        <f t="shared" si="2"/>
        <v>161309.95945945947</v>
      </c>
      <c r="S22" s="12">
        <f t="shared" si="2"/>
        <v>574.25675675675677</v>
      </c>
      <c r="T22" s="13">
        <f t="shared" si="0"/>
        <v>1872074.0562162162</v>
      </c>
    </row>
    <row r="23" spans="1:20" x14ac:dyDescent="0.4">
      <c r="A23" t="s">
        <v>20</v>
      </c>
      <c r="B23" s="4">
        <v>2031</v>
      </c>
      <c r="C23" s="12">
        <f t="shared" si="3"/>
        <v>1683471.9635135136</v>
      </c>
      <c r="D23" s="12">
        <f t="shared" si="4"/>
        <v>214392.54916216215</v>
      </c>
      <c r="E23" s="12">
        <f t="shared" si="2"/>
        <v>2061515.4594594594</v>
      </c>
      <c r="F23" s="12">
        <f t="shared" si="2"/>
        <v>222185.4961891892</v>
      </c>
      <c r="G23" s="12">
        <f t="shared" si="2"/>
        <v>66653.540540540547</v>
      </c>
      <c r="H23" s="12">
        <f t="shared" si="2"/>
        <v>1316061.2162162163</v>
      </c>
      <c r="I23" s="12">
        <f t="shared" si="2"/>
        <v>534436.70270270272</v>
      </c>
      <c r="J23" s="12">
        <f t="shared" si="2"/>
        <v>266999.21621621621</v>
      </c>
      <c r="K23" s="12">
        <f t="shared" si="2"/>
        <v>267437.48648648651</v>
      </c>
      <c r="L23" s="12">
        <f t="shared" si="2"/>
        <v>77033.67567567568</v>
      </c>
      <c r="M23" s="12">
        <f t="shared" si="2"/>
        <v>1302027.7297297297</v>
      </c>
      <c r="N23" s="12">
        <f t="shared" si="2"/>
        <v>14034.27027027027</v>
      </c>
      <c r="O23" s="12">
        <f t="shared" si="2"/>
        <v>26314.864864864867</v>
      </c>
      <c r="P23" s="12">
        <f t="shared" si="2"/>
        <v>163072.8108108108</v>
      </c>
      <c r="Q23" s="12">
        <f t="shared" si="2"/>
        <v>577.8648648648649</v>
      </c>
      <c r="R23" s="12">
        <f t="shared" si="2"/>
        <v>163072.8108108108</v>
      </c>
      <c r="S23" s="12">
        <f t="shared" si="2"/>
        <v>577.8648648648649</v>
      </c>
      <c r="T23" s="13">
        <f t="shared" si="0"/>
        <v>1897864.5126756758</v>
      </c>
    </row>
    <row r="24" spans="1:20" x14ac:dyDescent="0.4">
      <c r="A24" t="s">
        <v>20</v>
      </c>
      <c r="B24" s="4">
        <v>2032</v>
      </c>
      <c r="C24" s="12">
        <f t="shared" si="3"/>
        <v>1706544.3382027028</v>
      </c>
      <c r="D24" s="12">
        <f t="shared" si="4"/>
        <v>217110.63093243242</v>
      </c>
      <c r="E24" s="12">
        <f t="shared" si="2"/>
        <v>2089072.3918918918</v>
      </c>
      <c r="F24" s="12">
        <f t="shared" si="2"/>
        <v>224857.73283783783</v>
      </c>
      <c r="G24" s="12">
        <f t="shared" si="2"/>
        <v>67438.108108108107</v>
      </c>
      <c r="H24" s="12">
        <f t="shared" si="2"/>
        <v>1333619.7432432433</v>
      </c>
      <c r="I24" s="12">
        <f t="shared" si="2"/>
        <v>541930.54054054059</v>
      </c>
      <c r="J24" s="12">
        <f t="shared" si="2"/>
        <v>270420.74324324325</v>
      </c>
      <c r="K24" s="12">
        <f t="shared" si="2"/>
        <v>271509.79729729728</v>
      </c>
      <c r="L24" s="12">
        <f t="shared" si="2"/>
        <v>77983.135135135133</v>
      </c>
      <c r="M24" s="12">
        <f t="shared" si="2"/>
        <v>1319334.445945946</v>
      </c>
      <c r="N24" s="12">
        <f t="shared" si="2"/>
        <v>14286.054054054053</v>
      </c>
      <c r="O24" s="12">
        <f t="shared" si="2"/>
        <v>27020.472972972973</v>
      </c>
      <c r="P24" s="12">
        <f t="shared" si="2"/>
        <v>164835.66216216216</v>
      </c>
      <c r="Q24" s="12">
        <f t="shared" si="2"/>
        <v>581.47297297297291</v>
      </c>
      <c r="R24" s="12">
        <f t="shared" si="2"/>
        <v>164835.66216216216</v>
      </c>
      <c r="S24" s="12">
        <f t="shared" si="2"/>
        <v>581.47297297297291</v>
      </c>
      <c r="T24" s="13">
        <f t="shared" si="0"/>
        <v>1923654.9691351352</v>
      </c>
    </row>
    <row r="25" spans="1:20" x14ac:dyDescent="0.4">
      <c r="A25" t="s">
        <v>20</v>
      </c>
      <c r="B25" s="4">
        <v>2033</v>
      </c>
      <c r="C25" s="12">
        <f t="shared" si="3"/>
        <v>1729616.7128918918</v>
      </c>
      <c r="D25" s="12">
        <f t="shared" si="4"/>
        <v>219828.7127027027</v>
      </c>
      <c r="E25" s="12">
        <f t="shared" si="2"/>
        <v>2116629.3243243243</v>
      </c>
      <c r="F25" s="12">
        <f t="shared" si="2"/>
        <v>227529.96948648649</v>
      </c>
      <c r="G25" s="12">
        <f t="shared" si="2"/>
        <v>68222.67567567568</v>
      </c>
      <c r="H25" s="12">
        <f t="shared" si="2"/>
        <v>1351178.2702702703</v>
      </c>
      <c r="I25" s="12">
        <f t="shared" si="2"/>
        <v>549424.37837837834</v>
      </c>
      <c r="J25" s="12">
        <f t="shared" si="2"/>
        <v>273842.2702702703</v>
      </c>
      <c r="K25" s="12">
        <f t="shared" si="2"/>
        <v>275582.10810810811</v>
      </c>
      <c r="L25" s="12">
        <f t="shared" si="2"/>
        <v>78932.5945945946</v>
      </c>
      <c r="M25" s="12">
        <f t="shared" si="2"/>
        <v>1336641.1621621621</v>
      </c>
      <c r="N25" s="12">
        <f t="shared" si="2"/>
        <v>14537.837837837838</v>
      </c>
      <c r="O25" s="12">
        <f t="shared" si="2"/>
        <v>27726.08108108108</v>
      </c>
      <c r="P25" s="12">
        <f t="shared" si="2"/>
        <v>166598.51351351352</v>
      </c>
      <c r="Q25" s="12">
        <f t="shared" si="2"/>
        <v>585.08108108108104</v>
      </c>
      <c r="R25" s="12">
        <f t="shared" si="2"/>
        <v>166598.51351351352</v>
      </c>
      <c r="S25" s="12">
        <f t="shared" si="2"/>
        <v>585.08108108108104</v>
      </c>
      <c r="T25" s="13">
        <f t="shared" si="0"/>
        <v>1949445.4255945946</v>
      </c>
    </row>
    <row r="26" spans="1:20" x14ac:dyDescent="0.4">
      <c r="A26" t="s">
        <v>20</v>
      </c>
      <c r="B26" s="4">
        <v>2034</v>
      </c>
      <c r="C26" s="12">
        <f t="shared" si="3"/>
        <v>1752689.0875810811</v>
      </c>
      <c r="D26" s="12">
        <f t="shared" si="4"/>
        <v>222546.79447297298</v>
      </c>
      <c r="E26" s="12">
        <f t="shared" si="2"/>
        <v>2144186.2567567569</v>
      </c>
      <c r="F26" s="12">
        <f t="shared" si="2"/>
        <v>230202.20613513514</v>
      </c>
      <c r="G26" s="12">
        <f t="shared" si="2"/>
        <v>69007.24324324324</v>
      </c>
      <c r="H26" s="12">
        <f t="shared" si="2"/>
        <v>1368736.7972972973</v>
      </c>
      <c r="I26" s="12">
        <f t="shared" si="2"/>
        <v>556918.21621621621</v>
      </c>
      <c r="J26" s="12">
        <f t="shared" si="2"/>
        <v>277263.79729729728</v>
      </c>
      <c r="K26" s="12">
        <f t="shared" si="2"/>
        <v>279654.41891891893</v>
      </c>
      <c r="L26" s="12">
        <f t="shared" si="2"/>
        <v>79882.054054054053</v>
      </c>
      <c r="M26" s="12">
        <f t="shared" si="2"/>
        <v>1353947.8783783785</v>
      </c>
      <c r="N26" s="12">
        <f t="shared" si="2"/>
        <v>14789.621621621622</v>
      </c>
      <c r="O26" s="12">
        <f t="shared" si="2"/>
        <v>28431.68918918919</v>
      </c>
      <c r="P26" s="12">
        <f t="shared" si="2"/>
        <v>168361.36486486485</v>
      </c>
      <c r="Q26" s="12">
        <f t="shared" si="2"/>
        <v>588.68918918918916</v>
      </c>
      <c r="R26" s="12">
        <f t="shared" si="2"/>
        <v>168361.36486486485</v>
      </c>
      <c r="S26" s="12">
        <f t="shared" si="2"/>
        <v>588.68918918918916</v>
      </c>
      <c r="T26" s="13">
        <f t="shared" si="0"/>
        <v>1975235.8820540542</v>
      </c>
    </row>
    <row r="27" spans="1:20" x14ac:dyDescent="0.4">
      <c r="A27" t="s">
        <v>20</v>
      </c>
      <c r="B27" s="4">
        <v>2035</v>
      </c>
      <c r="C27" s="12">
        <f t="shared" si="3"/>
        <v>1775761.4622702703</v>
      </c>
      <c r="D27" s="12">
        <f t="shared" si="4"/>
        <v>225264.87624324323</v>
      </c>
      <c r="E27" s="12">
        <f t="shared" si="2"/>
        <v>2171743.1891891891</v>
      </c>
      <c r="F27" s="12">
        <f t="shared" si="2"/>
        <v>232874.44278378377</v>
      </c>
      <c r="G27" s="12">
        <f t="shared" si="2"/>
        <v>69791.810810810814</v>
      </c>
      <c r="H27" s="12">
        <f t="shared" si="2"/>
        <v>1386295.3243243243</v>
      </c>
      <c r="I27" s="12">
        <f t="shared" si="2"/>
        <v>564412.05405405408</v>
      </c>
      <c r="J27" s="12">
        <f t="shared" si="2"/>
        <v>280685.32432432432</v>
      </c>
      <c r="K27" s="12">
        <f t="shared" si="2"/>
        <v>283726.7297297297</v>
      </c>
      <c r="L27" s="12">
        <f t="shared" si="2"/>
        <v>80831.513513513521</v>
      </c>
      <c r="M27" s="12">
        <f t="shared" si="2"/>
        <v>1371254.5945945946</v>
      </c>
      <c r="N27" s="12">
        <f t="shared" si="2"/>
        <v>15041.405405405405</v>
      </c>
      <c r="O27" s="12">
        <f t="shared" si="2"/>
        <v>29137.297297297297</v>
      </c>
      <c r="P27" s="12">
        <f t="shared" si="2"/>
        <v>170124.21621621621</v>
      </c>
      <c r="Q27" s="12">
        <f t="shared" si="2"/>
        <v>592.29729729729729</v>
      </c>
      <c r="R27" s="12">
        <f t="shared" si="2"/>
        <v>170124.21621621621</v>
      </c>
      <c r="S27" s="12">
        <f t="shared" si="2"/>
        <v>592.29729729729729</v>
      </c>
      <c r="T27" s="13">
        <f t="shared" si="0"/>
        <v>2001026.3385135136</v>
      </c>
    </row>
    <row r="28" spans="1:20" x14ac:dyDescent="0.4">
      <c r="A28" t="s">
        <v>20</v>
      </c>
      <c r="B28" s="4">
        <v>2036</v>
      </c>
      <c r="C28" s="12">
        <f t="shared" si="3"/>
        <v>1798833.8369594594</v>
      </c>
      <c r="D28" s="12">
        <f t="shared" si="4"/>
        <v>227982.9580135135</v>
      </c>
      <c r="E28" s="12">
        <f t="shared" si="2"/>
        <v>2199300.1216216218</v>
      </c>
      <c r="F28" s="12">
        <f t="shared" si="2"/>
        <v>235546.67943243243</v>
      </c>
      <c r="G28" s="12">
        <f t="shared" si="2"/>
        <v>70576.378378378373</v>
      </c>
      <c r="H28" s="12">
        <f t="shared" si="2"/>
        <v>1403853.8513513515</v>
      </c>
      <c r="I28" s="12">
        <f t="shared" si="2"/>
        <v>571905.89189189184</v>
      </c>
      <c r="J28" s="12">
        <f t="shared" si="2"/>
        <v>284106.85135135136</v>
      </c>
      <c r="K28" s="12">
        <f t="shared" si="2"/>
        <v>287799.04054054053</v>
      </c>
      <c r="L28" s="12">
        <f t="shared" si="2"/>
        <v>81780.972972972973</v>
      </c>
      <c r="M28" s="12">
        <f t="shared" si="2"/>
        <v>1388561.3108108109</v>
      </c>
      <c r="N28" s="12">
        <f t="shared" si="2"/>
        <v>15293.18918918919</v>
      </c>
      <c r="O28" s="12">
        <f t="shared" si="2"/>
        <v>29842.905405405407</v>
      </c>
      <c r="P28" s="12">
        <f t="shared" si="2"/>
        <v>171887.06756756757</v>
      </c>
      <c r="Q28" s="12">
        <f t="shared" si="2"/>
        <v>595.90540540540542</v>
      </c>
      <c r="R28" s="12">
        <f t="shared" si="2"/>
        <v>171887.06756756757</v>
      </c>
      <c r="S28" s="12">
        <f t="shared" si="2"/>
        <v>595.90540540540542</v>
      </c>
      <c r="T28" s="13">
        <f t="shared" si="0"/>
        <v>2026816.7949729729</v>
      </c>
    </row>
    <row r="29" spans="1:20" x14ac:dyDescent="0.4">
      <c r="A29" t="s">
        <v>20</v>
      </c>
      <c r="B29" s="4">
        <v>2037</v>
      </c>
      <c r="C29" s="12">
        <f t="shared" si="3"/>
        <v>1821906.2116486486</v>
      </c>
      <c r="D29" s="12">
        <f>(D$52-D$15)/($B$52-$B$15)*($B29-$B$15)+D$15</f>
        <v>230701.03978378378</v>
      </c>
      <c r="E29" s="12">
        <f t="shared" si="2"/>
        <v>2226857.054054054</v>
      </c>
      <c r="F29" s="12">
        <f t="shared" si="2"/>
        <v>238218.91608108109</v>
      </c>
      <c r="G29" s="12">
        <f t="shared" si="2"/>
        <v>71360.945945945947</v>
      </c>
      <c r="H29" s="12">
        <f t="shared" si="2"/>
        <v>1421412.3783783785</v>
      </c>
      <c r="I29" s="12">
        <f t="shared" si="2"/>
        <v>579399.7297297297</v>
      </c>
      <c r="J29" s="12">
        <f t="shared" si="2"/>
        <v>287528.3783783784</v>
      </c>
      <c r="K29" s="12">
        <f t="shared" si="2"/>
        <v>291871.35135135136</v>
      </c>
      <c r="L29" s="12">
        <f t="shared" si="2"/>
        <v>82730.432432432426</v>
      </c>
      <c r="M29" s="12">
        <f t="shared" si="2"/>
        <v>1405868.027027027</v>
      </c>
      <c r="N29" s="12">
        <f t="shared" si="2"/>
        <v>15544.972972972973</v>
      </c>
      <c r="O29" s="12">
        <f t="shared" si="2"/>
        <v>30548.513513513513</v>
      </c>
      <c r="P29" s="12">
        <f t="shared" si="2"/>
        <v>173649.91891891891</v>
      </c>
      <c r="Q29" s="12">
        <f t="shared" si="2"/>
        <v>599.51351351351354</v>
      </c>
      <c r="R29" s="12">
        <f t="shared" si="2"/>
        <v>173649.91891891891</v>
      </c>
      <c r="S29" s="12">
        <f t="shared" si="2"/>
        <v>599.51351351351354</v>
      </c>
      <c r="T29" s="13">
        <f t="shared" si="0"/>
        <v>2052607.2514324323</v>
      </c>
    </row>
    <row r="30" spans="1:20" x14ac:dyDescent="0.4">
      <c r="A30" t="s">
        <v>20</v>
      </c>
      <c r="B30" s="4">
        <v>2038</v>
      </c>
      <c r="C30" s="12">
        <f t="shared" si="3"/>
        <v>1844978.5863378379</v>
      </c>
      <c r="D30" s="12">
        <f t="shared" si="4"/>
        <v>233419.12155405406</v>
      </c>
      <c r="E30" s="12">
        <f t="shared" si="2"/>
        <v>2254413.9864864866</v>
      </c>
      <c r="F30" s="12">
        <f t="shared" si="2"/>
        <v>240891.15272972971</v>
      </c>
      <c r="G30" s="12">
        <f t="shared" si="2"/>
        <v>72145.513513513521</v>
      </c>
      <c r="H30" s="12">
        <f t="shared" si="2"/>
        <v>1438970.9054054054</v>
      </c>
      <c r="I30" s="12">
        <f t="shared" si="2"/>
        <v>586893.56756756757</v>
      </c>
      <c r="J30" s="12">
        <f t="shared" si="2"/>
        <v>290949.90540540538</v>
      </c>
      <c r="K30" s="12">
        <f t="shared" si="2"/>
        <v>295943.66216216213</v>
      </c>
      <c r="L30" s="12">
        <f t="shared" si="2"/>
        <v>83679.891891891893</v>
      </c>
      <c r="M30" s="12">
        <f t="shared" si="2"/>
        <v>1423174.7432432433</v>
      </c>
      <c r="N30" s="12">
        <f t="shared" si="2"/>
        <v>15796.756756756757</v>
      </c>
      <c r="O30" s="12">
        <f t="shared" si="2"/>
        <v>31254.12162162162</v>
      </c>
      <c r="P30" s="12">
        <f t="shared" si="2"/>
        <v>175412.77027027027</v>
      </c>
      <c r="Q30" s="12">
        <f t="shared" si="2"/>
        <v>603.12162162162167</v>
      </c>
      <c r="R30" s="12">
        <f t="shared" si="2"/>
        <v>175412.77027027027</v>
      </c>
      <c r="S30" s="12">
        <f t="shared" si="2"/>
        <v>603.12162162162167</v>
      </c>
      <c r="T30" s="13">
        <f t="shared" si="0"/>
        <v>2078397.7078918919</v>
      </c>
    </row>
    <row r="31" spans="1:20" x14ac:dyDescent="0.4">
      <c r="A31" t="s">
        <v>20</v>
      </c>
      <c r="B31" s="4">
        <v>2039</v>
      </c>
      <c r="C31" s="12">
        <f t="shared" si="3"/>
        <v>1868050.9610270271</v>
      </c>
      <c r="D31" s="12">
        <f t="shared" si="4"/>
        <v>236137.20332432433</v>
      </c>
      <c r="E31" s="12">
        <f t="shared" si="2"/>
        <v>2281970.9189189188</v>
      </c>
      <c r="F31" s="12">
        <f t="shared" si="2"/>
        <v>243563.38937837837</v>
      </c>
      <c r="G31" s="12">
        <f t="shared" si="2"/>
        <v>72930.08108108108</v>
      </c>
      <c r="H31" s="12">
        <f t="shared" si="2"/>
        <v>1456529.4324324324</v>
      </c>
      <c r="I31" s="12">
        <f t="shared" si="2"/>
        <v>594387.40540540544</v>
      </c>
      <c r="J31" s="12">
        <f t="shared" si="2"/>
        <v>294371.43243243243</v>
      </c>
      <c r="K31" s="12">
        <f t="shared" si="2"/>
        <v>300015.97297297296</v>
      </c>
      <c r="L31" s="12">
        <f t="shared" si="2"/>
        <v>84629.351351351346</v>
      </c>
      <c r="M31" s="12">
        <f t="shared" si="2"/>
        <v>1440481.4594594594</v>
      </c>
      <c r="N31" s="12">
        <f t="shared" si="2"/>
        <v>16048.54054054054</v>
      </c>
      <c r="O31" s="12">
        <f t="shared" si="2"/>
        <v>31959.72972972973</v>
      </c>
      <c r="P31" s="12">
        <f t="shared" si="2"/>
        <v>177175.62162162163</v>
      </c>
      <c r="Q31" s="12">
        <f t="shared" si="2"/>
        <v>606.72972972972968</v>
      </c>
      <c r="R31" s="12">
        <f t="shared" si="2"/>
        <v>177175.62162162163</v>
      </c>
      <c r="S31" s="12">
        <f t="shared" si="2"/>
        <v>606.72972972972968</v>
      </c>
      <c r="T31" s="13">
        <f t="shared" si="0"/>
        <v>2104188.1643513516</v>
      </c>
    </row>
    <row r="32" spans="1:20" x14ac:dyDescent="0.4">
      <c r="A32" t="s">
        <v>20</v>
      </c>
      <c r="B32" s="4">
        <v>2040</v>
      </c>
      <c r="C32" s="12">
        <f t="shared" si="3"/>
        <v>1891123.3357162164</v>
      </c>
      <c r="D32" s="12">
        <f t="shared" si="4"/>
        <v>238855.28509459458</v>
      </c>
      <c r="E32" s="12">
        <f t="shared" si="2"/>
        <v>2309527.8513513515</v>
      </c>
      <c r="F32" s="12">
        <f t="shared" si="2"/>
        <v>246235.62602702703</v>
      </c>
      <c r="G32" s="12">
        <f t="shared" si="2"/>
        <v>73714.648648648654</v>
      </c>
      <c r="H32" s="12">
        <f t="shared" si="2"/>
        <v>1474087.9594594594</v>
      </c>
      <c r="I32" s="12">
        <f t="shared" si="2"/>
        <v>601881.2432432432</v>
      </c>
      <c r="J32" s="12">
        <f t="shared" si="2"/>
        <v>297792.95945945947</v>
      </c>
      <c r="K32" s="12">
        <f t="shared" si="2"/>
        <v>304088.28378378379</v>
      </c>
      <c r="L32" s="12">
        <f t="shared" si="2"/>
        <v>85578.810810810814</v>
      </c>
      <c r="M32" s="12">
        <f t="shared" si="2"/>
        <v>1457788.1756756757</v>
      </c>
      <c r="N32" s="12">
        <f t="shared" si="2"/>
        <v>16300.324324324323</v>
      </c>
      <c r="O32" s="12">
        <f t="shared" si="2"/>
        <v>32665.33783783784</v>
      </c>
      <c r="P32" s="12">
        <f t="shared" si="2"/>
        <v>178938.47297297296</v>
      </c>
      <c r="Q32" s="12">
        <f>(Q$52-Q$15)/($B$52-$B$15)*($B32-$B$15)+Q$15</f>
        <v>610.33783783783781</v>
      </c>
      <c r="R32" s="12">
        <f t="shared" si="2"/>
        <v>178938.47297297296</v>
      </c>
      <c r="S32" s="12">
        <f t="shared" si="2"/>
        <v>610.33783783783781</v>
      </c>
      <c r="T32" s="13">
        <f t="shared" si="0"/>
        <v>2129978.6208108109</v>
      </c>
    </row>
    <row r="33" spans="1:20" x14ac:dyDescent="0.4">
      <c r="A33" t="s">
        <v>20</v>
      </c>
      <c r="B33" s="4">
        <v>2041</v>
      </c>
      <c r="C33" s="12">
        <f t="shared" si="3"/>
        <v>1914195.7104054054</v>
      </c>
      <c r="D33" s="12">
        <f t="shared" si="4"/>
        <v>241573.36686486486</v>
      </c>
      <c r="E33" s="12">
        <f t="shared" si="2"/>
        <v>2337084.7837837837</v>
      </c>
      <c r="F33" s="12">
        <f t="shared" si="2"/>
        <v>248907.86267567569</v>
      </c>
      <c r="G33" s="12">
        <f t="shared" si="2"/>
        <v>74499.216216216213</v>
      </c>
      <c r="H33" s="12">
        <f t="shared" si="2"/>
        <v>1491646.4864864866</v>
      </c>
      <c r="I33" s="12">
        <f t="shared" si="2"/>
        <v>609375.08108108107</v>
      </c>
      <c r="J33" s="12">
        <f t="shared" si="2"/>
        <v>301214.48648648651</v>
      </c>
      <c r="K33" s="12">
        <f t="shared" si="2"/>
        <v>308160.59459459462</v>
      </c>
      <c r="L33" s="12">
        <f t="shared" si="2"/>
        <v>86528.270270270266</v>
      </c>
      <c r="M33" s="12">
        <f t="shared" si="2"/>
        <v>1475094.8918918918</v>
      </c>
      <c r="N33" s="12">
        <f t="shared" si="2"/>
        <v>16552.108108108107</v>
      </c>
      <c r="O33" s="12">
        <f t="shared" si="2"/>
        <v>33370.945945945947</v>
      </c>
      <c r="P33" s="12">
        <f t="shared" si="2"/>
        <v>180701.32432432432</v>
      </c>
      <c r="Q33" s="12">
        <f t="shared" si="2"/>
        <v>613.94594594594594</v>
      </c>
      <c r="R33" s="12">
        <f t="shared" si="2"/>
        <v>180701.32432432432</v>
      </c>
      <c r="S33" s="12">
        <f t="shared" si="2"/>
        <v>613.94594594594594</v>
      </c>
      <c r="T33" s="13">
        <f t="shared" si="0"/>
        <v>2155769.0772702703</v>
      </c>
    </row>
    <row r="34" spans="1:20" x14ac:dyDescent="0.4">
      <c r="A34" t="s">
        <v>20</v>
      </c>
      <c r="B34" s="4">
        <v>2042</v>
      </c>
      <c r="C34" s="12">
        <f t="shared" si="3"/>
        <v>1937268.0850945946</v>
      </c>
      <c r="D34" s="12">
        <f t="shared" si="4"/>
        <v>244291.44863513514</v>
      </c>
      <c r="E34" s="12">
        <f t="shared" si="2"/>
        <v>2364641.7162162163</v>
      </c>
      <c r="F34" s="12">
        <f t="shared" si="2"/>
        <v>251580.09932432431</v>
      </c>
      <c r="G34" s="12">
        <f t="shared" si="2"/>
        <v>75283.783783783787</v>
      </c>
      <c r="H34" s="12">
        <f t="shared" si="2"/>
        <v>1509205.0135135134</v>
      </c>
      <c r="I34" s="12">
        <f t="shared" si="2"/>
        <v>616868.91891891893</v>
      </c>
      <c r="J34" s="12">
        <f t="shared" ref="E34:S51" si="5">(J$52-J$15)/($B$52-$B$15)*($B34-$B$15)+J$15</f>
        <v>304636.01351351349</v>
      </c>
      <c r="K34" s="12">
        <f t="shared" si="5"/>
        <v>312232.90540540538</v>
      </c>
      <c r="L34" s="12">
        <f t="shared" si="5"/>
        <v>87477.729729729734</v>
      </c>
      <c r="M34" s="12">
        <f t="shared" si="5"/>
        <v>1492401.6081081082</v>
      </c>
      <c r="N34" s="12">
        <f t="shared" si="5"/>
        <v>16803.891891891893</v>
      </c>
      <c r="O34" s="12">
        <f t="shared" si="5"/>
        <v>34076.554054054053</v>
      </c>
      <c r="P34" s="12">
        <f t="shared" si="5"/>
        <v>182464.17567567568</v>
      </c>
      <c r="Q34" s="12">
        <f t="shared" si="5"/>
        <v>617.55405405405406</v>
      </c>
      <c r="R34" s="12">
        <f t="shared" si="5"/>
        <v>182464.17567567568</v>
      </c>
      <c r="S34" s="12">
        <f t="shared" si="5"/>
        <v>617.55405405405406</v>
      </c>
      <c r="T34" s="13">
        <f t="shared" ref="T34:T52" si="6">C34+D34</f>
        <v>2181559.5337297297</v>
      </c>
    </row>
    <row r="35" spans="1:20" x14ac:dyDescent="0.4">
      <c r="A35" t="s">
        <v>20</v>
      </c>
      <c r="B35" s="4">
        <v>2043</v>
      </c>
      <c r="C35" s="12">
        <f t="shared" si="3"/>
        <v>1960340.4597837839</v>
      </c>
      <c r="D35" s="12">
        <f t="shared" si="4"/>
        <v>247009.53040540538</v>
      </c>
      <c r="E35" s="12">
        <f t="shared" si="5"/>
        <v>2392198.6486486485</v>
      </c>
      <c r="F35" s="12">
        <f t="shared" si="5"/>
        <v>254252.33597297297</v>
      </c>
      <c r="G35" s="12">
        <f t="shared" si="5"/>
        <v>76068.351351351346</v>
      </c>
      <c r="H35" s="12">
        <f t="shared" si="5"/>
        <v>1526763.5405405406</v>
      </c>
      <c r="I35" s="12">
        <f t="shared" si="5"/>
        <v>624362.75675675669</v>
      </c>
      <c r="J35" s="12">
        <f t="shared" si="5"/>
        <v>308057.54054054053</v>
      </c>
      <c r="K35" s="12">
        <f t="shared" si="5"/>
        <v>316305.21621621621</v>
      </c>
      <c r="L35" s="12">
        <f t="shared" si="5"/>
        <v>88427.189189189186</v>
      </c>
      <c r="M35" s="12">
        <f t="shared" si="5"/>
        <v>1509708.3243243243</v>
      </c>
      <c r="N35" s="12">
        <f t="shared" si="5"/>
        <v>17055.675675675677</v>
      </c>
      <c r="O35" s="12">
        <f t="shared" si="5"/>
        <v>34782.16216216216</v>
      </c>
      <c r="P35" s="12">
        <f t="shared" si="5"/>
        <v>184227.02702702704</v>
      </c>
      <c r="Q35" s="12">
        <f t="shared" si="5"/>
        <v>621.16216216216219</v>
      </c>
      <c r="R35" s="12">
        <f t="shared" si="5"/>
        <v>184227.02702702704</v>
      </c>
      <c r="S35" s="12">
        <f t="shared" si="5"/>
        <v>621.16216216216219</v>
      </c>
      <c r="T35" s="13">
        <f t="shared" si="6"/>
        <v>2207349.9901891891</v>
      </c>
    </row>
    <row r="36" spans="1:20" x14ac:dyDescent="0.4">
      <c r="A36" t="s">
        <v>20</v>
      </c>
      <c r="B36" s="4">
        <v>2044</v>
      </c>
      <c r="C36" s="12">
        <f t="shared" si="3"/>
        <v>1983412.8344729729</v>
      </c>
      <c r="D36" s="12">
        <f t="shared" si="4"/>
        <v>249727.61217567569</v>
      </c>
      <c r="E36" s="12">
        <f t="shared" si="5"/>
        <v>2419755.5810810812</v>
      </c>
      <c r="F36" s="12">
        <f t="shared" si="5"/>
        <v>256924.57262162163</v>
      </c>
      <c r="G36" s="12">
        <f t="shared" si="5"/>
        <v>76852.91891891892</v>
      </c>
      <c r="H36" s="12">
        <f t="shared" si="5"/>
        <v>1544322.0675675676</v>
      </c>
      <c r="I36" s="12">
        <f t="shared" si="5"/>
        <v>631856.59459459456</v>
      </c>
      <c r="J36" s="12">
        <f t="shared" si="5"/>
        <v>311479.06756756757</v>
      </c>
      <c r="K36" s="12">
        <f t="shared" si="5"/>
        <v>320377.52702702704</v>
      </c>
      <c r="L36" s="12">
        <f t="shared" si="5"/>
        <v>89376.648648648654</v>
      </c>
      <c r="M36" s="12">
        <f t="shared" si="5"/>
        <v>1527015.0405405406</v>
      </c>
      <c r="N36" s="12">
        <f t="shared" si="5"/>
        <v>17307.45945945946</v>
      </c>
      <c r="O36" s="12">
        <f t="shared" si="5"/>
        <v>35487.770270270266</v>
      </c>
      <c r="P36" s="12">
        <f t="shared" si="5"/>
        <v>185989.87837837837</v>
      </c>
      <c r="Q36" s="12">
        <f t="shared" si="5"/>
        <v>624.7702702702702</v>
      </c>
      <c r="R36" s="12">
        <f t="shared" si="5"/>
        <v>185989.87837837837</v>
      </c>
      <c r="S36" s="12">
        <f t="shared" si="5"/>
        <v>624.7702702702702</v>
      </c>
      <c r="T36" s="13">
        <f t="shared" si="6"/>
        <v>2233140.4466486485</v>
      </c>
    </row>
    <row r="37" spans="1:20" x14ac:dyDescent="0.4">
      <c r="A37" t="s">
        <v>20</v>
      </c>
      <c r="B37" s="4">
        <v>2045</v>
      </c>
      <c r="C37" s="12">
        <f t="shared" si="3"/>
        <v>2006485.2091621622</v>
      </c>
      <c r="D37" s="12">
        <f t="shared" si="4"/>
        <v>252445.69394594594</v>
      </c>
      <c r="E37" s="12">
        <f t="shared" si="5"/>
        <v>2447312.5135135134</v>
      </c>
      <c r="F37" s="12">
        <f t="shared" si="5"/>
        <v>259596.80927027029</v>
      </c>
      <c r="G37" s="12">
        <f t="shared" si="5"/>
        <v>77637.486486486479</v>
      </c>
      <c r="H37" s="12">
        <f t="shared" si="5"/>
        <v>1561880.5945945946</v>
      </c>
      <c r="I37" s="12">
        <f t="shared" si="5"/>
        <v>639350.43243243243</v>
      </c>
      <c r="J37" s="12">
        <f t="shared" si="5"/>
        <v>314900.59459459462</v>
      </c>
      <c r="K37" s="12">
        <f t="shared" si="5"/>
        <v>324449.83783783787</v>
      </c>
      <c r="L37" s="12">
        <f t="shared" si="5"/>
        <v>90326.108108108107</v>
      </c>
      <c r="M37" s="12">
        <f t="shared" si="5"/>
        <v>1544321.7567567567</v>
      </c>
      <c r="N37" s="12">
        <f t="shared" si="5"/>
        <v>17559.243243243243</v>
      </c>
      <c r="O37" s="12">
        <f t="shared" si="5"/>
        <v>36193.37837837838</v>
      </c>
      <c r="P37" s="12">
        <f t="shared" si="5"/>
        <v>187752.72972972973</v>
      </c>
      <c r="Q37" s="12">
        <f t="shared" si="5"/>
        <v>628.37837837837833</v>
      </c>
      <c r="R37" s="12">
        <f t="shared" si="5"/>
        <v>187752.72972972973</v>
      </c>
      <c r="S37" s="12">
        <f t="shared" si="5"/>
        <v>628.37837837837833</v>
      </c>
      <c r="T37" s="13">
        <f t="shared" si="6"/>
        <v>2258930.9031081079</v>
      </c>
    </row>
    <row r="38" spans="1:20" x14ac:dyDescent="0.4">
      <c r="A38" t="s">
        <v>20</v>
      </c>
      <c r="B38" s="4">
        <v>2046</v>
      </c>
      <c r="C38" s="12">
        <f t="shared" si="3"/>
        <v>2029557.5838513514</v>
      </c>
      <c r="D38" s="12">
        <f t="shared" si="4"/>
        <v>255163.77571621622</v>
      </c>
      <c r="E38" s="12">
        <f t="shared" si="5"/>
        <v>2474869.445945946</v>
      </c>
      <c r="F38" s="12">
        <f t="shared" si="5"/>
        <v>262269.04591891891</v>
      </c>
      <c r="G38" s="12">
        <f t="shared" si="5"/>
        <v>78422.054054054053</v>
      </c>
      <c r="H38" s="12">
        <f t="shared" si="5"/>
        <v>1579439.1216216215</v>
      </c>
      <c r="I38" s="12">
        <f t="shared" si="5"/>
        <v>646844.2702702703</v>
      </c>
      <c r="J38" s="12">
        <f t="shared" si="5"/>
        <v>318322.12162162166</v>
      </c>
      <c r="K38" s="12">
        <f t="shared" si="5"/>
        <v>328522.14864864864</v>
      </c>
      <c r="L38" s="12">
        <f t="shared" si="5"/>
        <v>91275.567567567574</v>
      </c>
      <c r="M38" s="12">
        <f t="shared" si="5"/>
        <v>1561628.472972973</v>
      </c>
      <c r="N38" s="12">
        <f t="shared" si="5"/>
        <v>17811.027027027027</v>
      </c>
      <c r="O38" s="12">
        <f t="shared" si="5"/>
        <v>36898.986486486487</v>
      </c>
      <c r="P38" s="12">
        <f t="shared" si="5"/>
        <v>189515.58108108107</v>
      </c>
      <c r="Q38" s="12">
        <f t="shared" si="5"/>
        <v>631.98648648648646</v>
      </c>
      <c r="R38" s="12">
        <f t="shared" si="5"/>
        <v>189515.58108108107</v>
      </c>
      <c r="S38" s="12">
        <f t="shared" si="5"/>
        <v>631.98648648648646</v>
      </c>
      <c r="T38" s="13">
        <f t="shared" si="6"/>
        <v>2284721.3595675677</v>
      </c>
    </row>
    <row r="39" spans="1:20" x14ac:dyDescent="0.4">
      <c r="A39" t="s">
        <v>20</v>
      </c>
      <c r="B39" s="4">
        <v>2047</v>
      </c>
      <c r="C39" s="12">
        <f t="shared" si="3"/>
        <v>2052629.9585405407</v>
      </c>
      <c r="D39" s="12">
        <f t="shared" si="4"/>
        <v>257881.85748648649</v>
      </c>
      <c r="E39" s="12">
        <f t="shared" si="5"/>
        <v>2502426.3783783782</v>
      </c>
      <c r="F39" s="12">
        <f t="shared" si="5"/>
        <v>264941.28256756754</v>
      </c>
      <c r="G39" s="12">
        <f t="shared" si="5"/>
        <v>79206.621621621627</v>
      </c>
      <c r="H39" s="12">
        <f t="shared" si="5"/>
        <v>1596997.6486486485</v>
      </c>
      <c r="I39" s="12">
        <f t="shared" si="5"/>
        <v>654338.10810810816</v>
      </c>
      <c r="J39" s="12">
        <f t="shared" si="5"/>
        <v>321743.64864864864</v>
      </c>
      <c r="K39" s="12">
        <f t="shared" si="5"/>
        <v>332594.45945945947</v>
      </c>
      <c r="L39" s="12">
        <f t="shared" si="5"/>
        <v>92225.027027027027</v>
      </c>
      <c r="M39" s="12">
        <f t="shared" si="5"/>
        <v>1578935.1891891891</v>
      </c>
      <c r="N39" s="12">
        <f t="shared" si="5"/>
        <v>18062.81081081081</v>
      </c>
      <c r="O39" s="12">
        <f t="shared" si="5"/>
        <v>37604.594594594593</v>
      </c>
      <c r="P39" s="12">
        <f t="shared" si="5"/>
        <v>191278.43243243243</v>
      </c>
      <c r="Q39" s="12">
        <f t="shared" si="5"/>
        <v>635.59459459459458</v>
      </c>
      <c r="R39" s="12">
        <f t="shared" si="5"/>
        <v>191278.43243243243</v>
      </c>
      <c r="S39" s="12">
        <f t="shared" si="5"/>
        <v>635.59459459459458</v>
      </c>
      <c r="T39" s="13">
        <f t="shared" si="6"/>
        <v>2310511.8160270271</v>
      </c>
    </row>
    <row r="40" spans="1:20" x14ac:dyDescent="0.4">
      <c r="A40" t="s">
        <v>20</v>
      </c>
      <c r="B40" s="4">
        <v>2048</v>
      </c>
      <c r="C40" s="12">
        <f t="shared" si="3"/>
        <v>2075702.3332297299</v>
      </c>
      <c r="D40" s="12">
        <f t="shared" si="4"/>
        <v>260599.93925675674</v>
      </c>
      <c r="E40" s="12">
        <f t="shared" si="5"/>
        <v>2529983.3108108109</v>
      </c>
      <c r="F40" s="12">
        <f t="shared" si="5"/>
        <v>267613.51921621623</v>
      </c>
      <c r="G40" s="12">
        <f t="shared" si="5"/>
        <v>79991.189189189186</v>
      </c>
      <c r="H40" s="12">
        <f t="shared" si="5"/>
        <v>1614556.1756756757</v>
      </c>
      <c r="I40" s="12">
        <f t="shared" si="5"/>
        <v>661831.94594594592</v>
      </c>
      <c r="J40" s="12">
        <f t="shared" si="5"/>
        <v>325165.17567567568</v>
      </c>
      <c r="K40" s="12">
        <f t="shared" si="5"/>
        <v>336666.7702702703</v>
      </c>
      <c r="L40" s="12">
        <f t="shared" si="5"/>
        <v>93174.486486486479</v>
      </c>
      <c r="M40" s="12">
        <f t="shared" si="5"/>
        <v>1596241.9054054054</v>
      </c>
      <c r="N40" s="12">
        <f t="shared" si="5"/>
        <v>18314.594594594593</v>
      </c>
      <c r="O40" s="12">
        <f t="shared" si="5"/>
        <v>38310.202702702707</v>
      </c>
      <c r="P40" s="12">
        <f t="shared" si="5"/>
        <v>193041.28378378379</v>
      </c>
      <c r="Q40" s="12">
        <f t="shared" si="5"/>
        <v>639.20270270270271</v>
      </c>
      <c r="R40" s="12">
        <f t="shared" si="5"/>
        <v>193041.28378378379</v>
      </c>
      <c r="S40" s="12">
        <f t="shared" si="5"/>
        <v>639.20270270270271</v>
      </c>
      <c r="T40" s="13">
        <f t="shared" si="6"/>
        <v>2336302.2724864865</v>
      </c>
    </row>
    <row r="41" spans="1:20" x14ac:dyDescent="0.4">
      <c r="A41" t="s">
        <v>20</v>
      </c>
      <c r="B41" s="4">
        <v>2049</v>
      </c>
      <c r="C41" s="12">
        <f t="shared" si="3"/>
        <v>2098774.7079189187</v>
      </c>
      <c r="D41" s="12">
        <f t="shared" si="4"/>
        <v>263318.02102702705</v>
      </c>
      <c r="E41" s="12">
        <f t="shared" si="5"/>
        <v>2557540.2432432435</v>
      </c>
      <c r="F41" s="12">
        <f t="shared" si="5"/>
        <v>270285.75586486486</v>
      </c>
      <c r="G41" s="12">
        <f t="shared" si="5"/>
        <v>80775.75675675676</v>
      </c>
      <c r="H41" s="12">
        <f t="shared" si="5"/>
        <v>1632114.7027027027</v>
      </c>
      <c r="I41" s="12">
        <f t="shared" si="5"/>
        <v>669325.78378378379</v>
      </c>
      <c r="J41" s="12">
        <f t="shared" si="5"/>
        <v>328586.70270270272</v>
      </c>
      <c r="K41" s="12">
        <f t="shared" si="5"/>
        <v>340739.08108108107</v>
      </c>
      <c r="L41" s="12">
        <f t="shared" si="5"/>
        <v>94123.945945945947</v>
      </c>
      <c r="M41" s="12">
        <f t="shared" si="5"/>
        <v>1613548.6216216218</v>
      </c>
      <c r="N41" s="12">
        <f t="shared" si="5"/>
        <v>18566.37837837838</v>
      </c>
      <c r="O41" s="12">
        <f t="shared" si="5"/>
        <v>39015.810810810814</v>
      </c>
      <c r="P41" s="12">
        <f t="shared" si="5"/>
        <v>194804.13513513515</v>
      </c>
      <c r="Q41" s="12">
        <f t="shared" si="5"/>
        <v>642.81081081081084</v>
      </c>
      <c r="R41" s="12">
        <f t="shared" si="5"/>
        <v>194804.13513513515</v>
      </c>
      <c r="S41" s="12">
        <f t="shared" si="5"/>
        <v>642.81081081081084</v>
      </c>
      <c r="T41" s="13">
        <f t="shared" si="6"/>
        <v>2362092.7289459459</v>
      </c>
    </row>
    <row r="42" spans="1:20" x14ac:dyDescent="0.4">
      <c r="A42" t="s">
        <v>20</v>
      </c>
      <c r="B42" s="4">
        <v>2050</v>
      </c>
      <c r="C42" s="12">
        <f t="shared" si="3"/>
        <v>2121847.0826081084</v>
      </c>
      <c r="D42" s="12">
        <f t="shared" si="4"/>
        <v>266036.1027972973</v>
      </c>
      <c r="E42" s="12">
        <f t="shared" si="5"/>
        <v>2585097.1756756757</v>
      </c>
      <c r="F42" s="12">
        <f t="shared" si="5"/>
        <v>272957.99251351354</v>
      </c>
      <c r="G42" s="12">
        <f t="shared" si="5"/>
        <v>81560.32432432432</v>
      </c>
      <c r="H42" s="12">
        <f t="shared" si="5"/>
        <v>1649673.2297297297</v>
      </c>
      <c r="I42" s="12">
        <f t="shared" si="5"/>
        <v>676819.62162162154</v>
      </c>
      <c r="J42" s="12">
        <f t="shared" si="5"/>
        <v>332008.2297297297</v>
      </c>
      <c r="K42" s="12">
        <f t="shared" si="5"/>
        <v>344811.39189189189</v>
      </c>
      <c r="L42" s="12">
        <f t="shared" si="5"/>
        <v>95073.405405405414</v>
      </c>
      <c r="M42" s="12">
        <f t="shared" si="5"/>
        <v>1630855.3378378379</v>
      </c>
      <c r="N42" s="12">
        <f t="shared" si="5"/>
        <v>18818.16216216216</v>
      </c>
      <c r="O42" s="12">
        <f t="shared" si="5"/>
        <v>39721.41891891892</v>
      </c>
      <c r="P42" s="12">
        <f t="shared" si="5"/>
        <v>196566.98648648648</v>
      </c>
      <c r="Q42" s="12">
        <f t="shared" si="5"/>
        <v>646.41891891891896</v>
      </c>
      <c r="R42" s="12">
        <f t="shared" si="5"/>
        <v>196566.98648648648</v>
      </c>
      <c r="S42" s="12">
        <f t="shared" si="5"/>
        <v>646.41891891891896</v>
      </c>
      <c r="T42" s="13">
        <f t="shared" si="6"/>
        <v>2387883.1854054057</v>
      </c>
    </row>
    <row r="43" spans="1:20" x14ac:dyDescent="0.4">
      <c r="A43" t="s">
        <v>20</v>
      </c>
      <c r="B43" s="4">
        <v>2051</v>
      </c>
      <c r="C43" s="12">
        <f t="shared" si="3"/>
        <v>2144919.4572972972</v>
      </c>
      <c r="D43" s="12">
        <f t="shared" si="4"/>
        <v>268754.18456756754</v>
      </c>
      <c r="E43" s="12">
        <f t="shared" si="5"/>
        <v>2612654.1081081079</v>
      </c>
      <c r="F43" s="12">
        <f t="shared" si="5"/>
        <v>275630.22916216217</v>
      </c>
      <c r="G43" s="12">
        <f t="shared" si="5"/>
        <v>82344.891891891893</v>
      </c>
      <c r="H43" s="12">
        <f t="shared" si="5"/>
        <v>1667231.7567567567</v>
      </c>
      <c r="I43" s="12">
        <f t="shared" si="5"/>
        <v>684313.45945945941</v>
      </c>
      <c r="J43" s="12">
        <f t="shared" si="5"/>
        <v>335429.75675675675</v>
      </c>
      <c r="K43" s="12">
        <f t="shared" si="5"/>
        <v>348883.70270270272</v>
      </c>
      <c r="L43" s="12">
        <f t="shared" si="5"/>
        <v>96022.864864864867</v>
      </c>
      <c r="M43" s="12">
        <f t="shared" si="5"/>
        <v>1648162.054054054</v>
      </c>
      <c r="N43" s="12">
        <f t="shared" si="5"/>
        <v>19069.945945945947</v>
      </c>
      <c r="O43" s="12">
        <f t="shared" si="5"/>
        <v>40427.027027027027</v>
      </c>
      <c r="P43" s="12">
        <f t="shared" si="5"/>
        <v>198329.83783783784</v>
      </c>
      <c r="Q43" s="12">
        <f t="shared" si="5"/>
        <v>650.02702702702697</v>
      </c>
      <c r="R43" s="12">
        <f t="shared" si="5"/>
        <v>198329.83783783784</v>
      </c>
      <c r="S43" s="12">
        <f t="shared" si="5"/>
        <v>650.02702702702697</v>
      </c>
      <c r="T43" s="13">
        <f t="shared" si="6"/>
        <v>2413673.6418648646</v>
      </c>
    </row>
    <row r="44" spans="1:20" x14ac:dyDescent="0.4">
      <c r="A44" t="s">
        <v>20</v>
      </c>
      <c r="B44" s="4">
        <v>2052</v>
      </c>
      <c r="C44" s="12">
        <f t="shared" si="3"/>
        <v>2167991.8319864864</v>
      </c>
      <c r="D44" s="12">
        <f t="shared" si="4"/>
        <v>271472.26633783785</v>
      </c>
      <c r="E44" s="12">
        <f t="shared" si="5"/>
        <v>2640211.0405405406</v>
      </c>
      <c r="F44" s="12">
        <f t="shared" si="5"/>
        <v>278302.4658108108</v>
      </c>
      <c r="G44" s="12">
        <f t="shared" si="5"/>
        <v>83129.459459459467</v>
      </c>
      <c r="H44" s="12">
        <f t="shared" si="5"/>
        <v>1684790.2837837837</v>
      </c>
      <c r="I44" s="12">
        <f t="shared" si="5"/>
        <v>691807.29729729728</v>
      </c>
      <c r="J44" s="12">
        <f t="shared" si="5"/>
        <v>338851.28378378379</v>
      </c>
      <c r="K44" s="12">
        <f t="shared" si="5"/>
        <v>352956.01351351349</v>
      </c>
      <c r="L44" s="12">
        <f t="shared" si="5"/>
        <v>96972.32432432432</v>
      </c>
      <c r="M44" s="12">
        <f t="shared" si="5"/>
        <v>1665468.7702702703</v>
      </c>
      <c r="N44" s="12">
        <f t="shared" si="5"/>
        <v>19321.72972972973</v>
      </c>
      <c r="O44" s="12">
        <f t="shared" si="5"/>
        <v>41132.635135135133</v>
      </c>
      <c r="P44" s="12">
        <f t="shared" si="5"/>
        <v>200092.68918918917</v>
      </c>
      <c r="Q44" s="12">
        <f t="shared" si="5"/>
        <v>653.6351351351351</v>
      </c>
      <c r="R44" s="12">
        <f t="shared" si="5"/>
        <v>200092.68918918917</v>
      </c>
      <c r="S44" s="12">
        <f t="shared" si="5"/>
        <v>653.6351351351351</v>
      </c>
      <c r="T44" s="13">
        <f t="shared" si="6"/>
        <v>2439464.0983243245</v>
      </c>
    </row>
    <row r="45" spans="1:20" x14ac:dyDescent="0.4">
      <c r="A45" t="s">
        <v>20</v>
      </c>
      <c r="B45" s="4">
        <v>2053</v>
      </c>
      <c r="C45" s="12">
        <f t="shared" si="3"/>
        <v>2191064.2066756757</v>
      </c>
      <c r="D45" s="12">
        <f t="shared" si="4"/>
        <v>274190.3481081081</v>
      </c>
      <c r="E45" s="12">
        <f t="shared" si="5"/>
        <v>2667767.9729729732</v>
      </c>
      <c r="F45" s="12">
        <f t="shared" si="5"/>
        <v>280974.70245945943</v>
      </c>
      <c r="G45" s="12">
        <f t="shared" si="5"/>
        <v>83914.027027027027</v>
      </c>
      <c r="H45" s="12">
        <f t="shared" si="5"/>
        <v>1702348.8108108109</v>
      </c>
      <c r="I45" s="12">
        <f t="shared" si="5"/>
        <v>699301.13513513515</v>
      </c>
      <c r="J45" s="12">
        <f t="shared" si="5"/>
        <v>342272.81081081083</v>
      </c>
      <c r="K45" s="12">
        <f t="shared" si="5"/>
        <v>357028.32432432432</v>
      </c>
      <c r="L45" s="12">
        <f t="shared" si="5"/>
        <v>97921.783783783787</v>
      </c>
      <c r="M45" s="12">
        <f t="shared" si="5"/>
        <v>1682775.4864864866</v>
      </c>
      <c r="N45" s="12">
        <f t="shared" si="5"/>
        <v>19573.513513513513</v>
      </c>
      <c r="O45" s="12">
        <f t="shared" si="5"/>
        <v>41838.24324324324</v>
      </c>
      <c r="P45" s="12">
        <f t="shared" si="5"/>
        <v>201855.54054054053</v>
      </c>
      <c r="Q45" s="12">
        <f t="shared" si="5"/>
        <v>657.24324324324323</v>
      </c>
      <c r="R45" s="12">
        <f t="shared" si="5"/>
        <v>201855.54054054053</v>
      </c>
      <c r="S45" s="12">
        <f t="shared" si="5"/>
        <v>657.24324324324323</v>
      </c>
      <c r="T45" s="13">
        <f t="shared" si="6"/>
        <v>2465254.5547837839</v>
      </c>
    </row>
    <row r="46" spans="1:20" x14ac:dyDescent="0.4">
      <c r="A46" t="s">
        <v>20</v>
      </c>
      <c r="B46" s="4">
        <v>2054</v>
      </c>
      <c r="C46" s="12">
        <f t="shared" si="3"/>
        <v>2214136.5813648649</v>
      </c>
      <c r="D46" s="12">
        <f t="shared" si="4"/>
        <v>276908.4298783784</v>
      </c>
      <c r="E46" s="12">
        <f t="shared" si="5"/>
        <v>2695324.9054054054</v>
      </c>
      <c r="F46" s="12">
        <f t="shared" si="5"/>
        <v>283646.93910810811</v>
      </c>
      <c r="G46" s="12">
        <f t="shared" si="5"/>
        <v>84698.5945945946</v>
      </c>
      <c r="H46" s="12">
        <f t="shared" si="5"/>
        <v>1719907.3378378379</v>
      </c>
      <c r="I46" s="12">
        <f t="shared" si="5"/>
        <v>706794.97297297302</v>
      </c>
      <c r="J46" s="12">
        <f t="shared" si="5"/>
        <v>345694.33783783787</v>
      </c>
      <c r="K46" s="12">
        <f t="shared" si="5"/>
        <v>361100.63513513515</v>
      </c>
      <c r="L46" s="12">
        <f t="shared" si="5"/>
        <v>98871.24324324324</v>
      </c>
      <c r="M46" s="12">
        <f t="shared" si="5"/>
        <v>1700082.2027027027</v>
      </c>
      <c r="N46" s="12">
        <f t="shared" si="5"/>
        <v>19825.297297297297</v>
      </c>
      <c r="O46" s="12">
        <f t="shared" si="5"/>
        <v>42543.851351351354</v>
      </c>
      <c r="P46" s="12">
        <f t="shared" si="5"/>
        <v>203618.39189189189</v>
      </c>
      <c r="Q46" s="12">
        <f t="shared" si="5"/>
        <v>660.85135135135135</v>
      </c>
      <c r="R46" s="12">
        <f t="shared" si="5"/>
        <v>203618.39189189189</v>
      </c>
      <c r="S46" s="12">
        <f t="shared" si="5"/>
        <v>660.85135135135135</v>
      </c>
      <c r="T46" s="13">
        <f t="shared" si="6"/>
        <v>2491045.0112432432</v>
      </c>
    </row>
    <row r="47" spans="1:20" x14ac:dyDescent="0.4">
      <c r="A47" t="s">
        <v>20</v>
      </c>
      <c r="B47" s="4">
        <v>2055</v>
      </c>
      <c r="C47" s="12">
        <f t="shared" si="3"/>
        <v>2237208.9560540542</v>
      </c>
      <c r="D47" s="12">
        <f t="shared" si="4"/>
        <v>279626.51164864865</v>
      </c>
      <c r="E47" s="12">
        <f t="shared" si="5"/>
        <v>2722881.8378378376</v>
      </c>
      <c r="F47" s="12">
        <f t="shared" si="5"/>
        <v>286319.17575675674</v>
      </c>
      <c r="G47" s="12">
        <f t="shared" si="5"/>
        <v>85483.16216216216</v>
      </c>
      <c r="H47" s="12">
        <f t="shared" si="5"/>
        <v>1737465.8648648649</v>
      </c>
      <c r="I47" s="12">
        <f t="shared" si="5"/>
        <v>714288.81081081077</v>
      </c>
      <c r="J47" s="12">
        <f t="shared" si="5"/>
        <v>349115.86486486485</v>
      </c>
      <c r="K47" s="12">
        <f t="shared" si="5"/>
        <v>365172.94594594592</v>
      </c>
      <c r="L47" s="12">
        <f t="shared" si="5"/>
        <v>99820.702702702707</v>
      </c>
      <c r="M47" s="12">
        <f t="shared" si="5"/>
        <v>1717388.9189189188</v>
      </c>
      <c r="N47" s="12">
        <f t="shared" si="5"/>
        <v>20077.08108108108</v>
      </c>
      <c r="O47" s="12">
        <f t="shared" si="5"/>
        <v>43249.45945945946</v>
      </c>
      <c r="P47" s="12">
        <f t="shared" si="5"/>
        <v>205381.24324324325</v>
      </c>
      <c r="Q47" s="12">
        <f t="shared" si="5"/>
        <v>664.45945945945948</v>
      </c>
      <c r="R47" s="12">
        <f t="shared" si="5"/>
        <v>205381.24324324325</v>
      </c>
      <c r="S47" s="12">
        <f t="shared" si="5"/>
        <v>664.45945945945948</v>
      </c>
      <c r="T47" s="13">
        <f t="shared" si="6"/>
        <v>2516835.4677027026</v>
      </c>
    </row>
    <row r="48" spans="1:20" x14ac:dyDescent="0.4">
      <c r="A48" t="s">
        <v>20</v>
      </c>
      <c r="B48" s="4">
        <v>2056</v>
      </c>
      <c r="C48" s="12">
        <f t="shared" si="3"/>
        <v>2260281.330743243</v>
      </c>
      <c r="D48" s="12">
        <f t="shared" si="4"/>
        <v>282344.5934189189</v>
      </c>
      <c r="E48" s="12">
        <f t="shared" si="5"/>
        <v>2750438.7702702703</v>
      </c>
      <c r="F48" s="12">
        <f t="shared" si="5"/>
        <v>288991.41240540543</v>
      </c>
      <c r="G48" s="12">
        <f t="shared" si="5"/>
        <v>86267.729729729734</v>
      </c>
      <c r="H48" s="12">
        <f t="shared" si="5"/>
        <v>1755024.3918918918</v>
      </c>
      <c r="I48" s="12">
        <f t="shared" si="5"/>
        <v>721782.64864864864</v>
      </c>
      <c r="J48" s="12">
        <f t="shared" si="5"/>
        <v>352537.39189189189</v>
      </c>
      <c r="K48" s="12">
        <f t="shared" si="5"/>
        <v>369245.25675675675</v>
      </c>
      <c r="L48" s="12">
        <f t="shared" si="5"/>
        <v>100770.16216216216</v>
      </c>
      <c r="M48" s="12">
        <f t="shared" si="5"/>
        <v>1734695.6351351351</v>
      </c>
      <c r="N48" s="12">
        <f t="shared" si="5"/>
        <v>20328.864864864867</v>
      </c>
      <c r="O48" s="12">
        <f t="shared" si="5"/>
        <v>43955.067567567567</v>
      </c>
      <c r="P48" s="12">
        <f t="shared" si="5"/>
        <v>207144.09459459459</v>
      </c>
      <c r="Q48" s="12">
        <f t="shared" si="5"/>
        <v>668.06756756756761</v>
      </c>
      <c r="R48" s="12">
        <f t="shared" si="5"/>
        <v>207144.09459459459</v>
      </c>
      <c r="S48" s="12">
        <f t="shared" si="5"/>
        <v>668.06756756756761</v>
      </c>
      <c r="T48" s="13">
        <f t="shared" si="6"/>
        <v>2542625.924162162</v>
      </c>
    </row>
    <row r="49" spans="1:20" x14ac:dyDescent="0.4">
      <c r="A49" t="s">
        <v>20</v>
      </c>
      <c r="B49" s="4">
        <v>2057</v>
      </c>
      <c r="C49" s="12">
        <f t="shared" si="3"/>
        <v>2283353.7054324327</v>
      </c>
      <c r="D49" s="12">
        <f t="shared" si="4"/>
        <v>285062.67518918921</v>
      </c>
      <c r="E49" s="12">
        <f t="shared" si="5"/>
        <v>2777995.702702703</v>
      </c>
      <c r="F49" s="12">
        <f t="shared" si="5"/>
        <v>291663.64905405405</v>
      </c>
      <c r="G49" s="12">
        <f t="shared" si="5"/>
        <v>87052.297297297308</v>
      </c>
      <c r="H49" s="12">
        <f t="shared" si="5"/>
        <v>1772582.9189189188</v>
      </c>
      <c r="I49" s="12">
        <f t="shared" si="5"/>
        <v>729276.48648648651</v>
      </c>
      <c r="J49" s="12">
        <f t="shared" si="5"/>
        <v>355958.91891891893</v>
      </c>
      <c r="K49" s="12">
        <f t="shared" si="5"/>
        <v>373317.56756756757</v>
      </c>
      <c r="L49" s="12">
        <f t="shared" si="5"/>
        <v>101719.62162162163</v>
      </c>
      <c r="M49" s="12">
        <f t="shared" si="5"/>
        <v>1752002.3513513515</v>
      </c>
      <c r="N49" s="12">
        <f t="shared" si="5"/>
        <v>20580.648648648646</v>
      </c>
      <c r="O49" s="12">
        <f t="shared" si="5"/>
        <v>44660.67567567568</v>
      </c>
      <c r="P49" s="12">
        <f t="shared" si="5"/>
        <v>208906.94594594595</v>
      </c>
      <c r="Q49" s="12">
        <f t="shared" si="5"/>
        <v>671.67567567567562</v>
      </c>
      <c r="R49" s="12">
        <f t="shared" si="5"/>
        <v>208906.94594594595</v>
      </c>
      <c r="S49" s="12">
        <f t="shared" si="5"/>
        <v>671.67567567567562</v>
      </c>
      <c r="T49" s="13">
        <f t="shared" si="6"/>
        <v>2568416.3806216219</v>
      </c>
    </row>
    <row r="50" spans="1:20" x14ac:dyDescent="0.4">
      <c r="A50" t="s">
        <v>20</v>
      </c>
      <c r="B50" s="4">
        <v>2058</v>
      </c>
      <c r="C50" s="12">
        <f t="shared" si="3"/>
        <v>2306426.0801216215</v>
      </c>
      <c r="D50" s="12">
        <f t="shared" si="4"/>
        <v>287780.75695945945</v>
      </c>
      <c r="E50" s="12">
        <f t="shared" si="5"/>
        <v>2805552.6351351351</v>
      </c>
      <c r="F50" s="12">
        <f t="shared" si="5"/>
        <v>294335.88570270268</v>
      </c>
      <c r="G50" s="12">
        <f t="shared" si="5"/>
        <v>87836.864864864867</v>
      </c>
      <c r="H50" s="12">
        <f t="shared" si="5"/>
        <v>1790141.445945946</v>
      </c>
      <c r="I50" s="12">
        <f t="shared" si="5"/>
        <v>736770.32432432426</v>
      </c>
      <c r="J50" s="12">
        <f t="shared" si="5"/>
        <v>359380.44594594592</v>
      </c>
      <c r="K50" s="12">
        <f t="shared" si="5"/>
        <v>377389.87837837834</v>
      </c>
      <c r="L50" s="12">
        <f t="shared" si="5"/>
        <v>102669.08108108108</v>
      </c>
      <c r="M50" s="12">
        <f t="shared" si="5"/>
        <v>1769309.0675675676</v>
      </c>
      <c r="N50" s="12">
        <f t="shared" si="5"/>
        <v>20832.432432432433</v>
      </c>
      <c r="O50" s="12">
        <f t="shared" si="5"/>
        <v>45366.283783783787</v>
      </c>
      <c r="P50" s="12">
        <f t="shared" si="5"/>
        <v>210669.79729729728</v>
      </c>
      <c r="Q50" s="12">
        <f t="shared" si="5"/>
        <v>675.28378378378375</v>
      </c>
      <c r="R50" s="12">
        <f t="shared" si="5"/>
        <v>210669.79729729728</v>
      </c>
      <c r="S50" s="12">
        <f t="shared" si="5"/>
        <v>675.28378378378375</v>
      </c>
      <c r="T50" s="13">
        <f t="shared" si="6"/>
        <v>2594206.8370810808</v>
      </c>
    </row>
    <row r="51" spans="1:20" x14ac:dyDescent="0.4">
      <c r="A51" t="s">
        <v>20</v>
      </c>
      <c r="B51" s="4">
        <v>2059</v>
      </c>
      <c r="C51" s="12">
        <f t="shared" si="3"/>
        <v>2329498.4548108107</v>
      </c>
      <c r="D51" s="12">
        <f t="shared" si="4"/>
        <v>290498.83872972976</v>
      </c>
      <c r="E51" s="12">
        <f t="shared" si="5"/>
        <v>2833109.5675675673</v>
      </c>
      <c r="F51" s="12">
        <f t="shared" si="5"/>
        <v>297008.12235135137</v>
      </c>
      <c r="G51" s="12">
        <f t="shared" si="5"/>
        <v>88621.432432432426</v>
      </c>
      <c r="H51" s="12">
        <f t="shared" si="5"/>
        <v>1807699.972972973</v>
      </c>
      <c r="I51" s="12">
        <f t="shared" si="5"/>
        <v>744264.16216216213</v>
      </c>
      <c r="J51" s="12">
        <f t="shared" ref="J51:S51" si="7">(J$52-J$15)/($B$52-$B$15)*($B51-$B$15)+J$15</f>
        <v>362801.97297297296</v>
      </c>
      <c r="K51" s="12">
        <f t="shared" si="7"/>
        <v>381462.18918918923</v>
      </c>
      <c r="L51" s="12">
        <f t="shared" si="7"/>
        <v>103618.54054054053</v>
      </c>
      <c r="M51" s="12">
        <f t="shared" si="7"/>
        <v>1786615.7837837837</v>
      </c>
      <c r="N51" s="12">
        <f t="shared" si="7"/>
        <v>21084.216216216217</v>
      </c>
      <c r="O51" s="12">
        <f t="shared" si="7"/>
        <v>46071.891891891893</v>
      </c>
      <c r="P51" s="12">
        <f t="shared" si="7"/>
        <v>212432.64864864864</v>
      </c>
      <c r="Q51" s="12">
        <f t="shared" si="7"/>
        <v>678.89189189189187</v>
      </c>
      <c r="R51" s="12">
        <f t="shared" si="7"/>
        <v>212432.64864864864</v>
      </c>
      <c r="S51" s="12">
        <f t="shared" si="7"/>
        <v>678.89189189189187</v>
      </c>
      <c r="T51" s="13">
        <f t="shared" si="6"/>
        <v>2619997.2935405406</v>
      </c>
    </row>
    <row r="52" spans="1:20" x14ac:dyDescent="0.4">
      <c r="A52" t="s">
        <v>20</v>
      </c>
      <c r="B52" s="4">
        <v>2060</v>
      </c>
      <c r="C52" s="12">
        <f>C9*1.5</f>
        <v>2352570.8295</v>
      </c>
      <c r="D52" s="12">
        <f t="shared" ref="D52:S52" si="8">D9*1.5</f>
        <v>293216.92050000001</v>
      </c>
      <c r="E52" s="12">
        <f t="shared" si="8"/>
        <v>2860666.5</v>
      </c>
      <c r="F52" s="12">
        <f t="shared" si="8"/>
        <v>299680.359</v>
      </c>
      <c r="G52" s="12">
        <f t="shared" si="8"/>
        <v>89406</v>
      </c>
      <c r="H52" s="12">
        <f t="shared" si="8"/>
        <v>1825258.5</v>
      </c>
      <c r="I52" s="12">
        <f t="shared" si="8"/>
        <v>751758</v>
      </c>
      <c r="J52" s="12">
        <f t="shared" si="8"/>
        <v>366223.5</v>
      </c>
      <c r="K52" s="12">
        <f t="shared" si="8"/>
        <v>385534.5</v>
      </c>
      <c r="L52" s="12">
        <f t="shared" si="8"/>
        <v>104568</v>
      </c>
      <c r="M52" s="12">
        <f t="shared" si="8"/>
        <v>1803922.5</v>
      </c>
      <c r="N52" s="12">
        <f t="shared" si="8"/>
        <v>21336</v>
      </c>
      <c r="O52" s="12">
        <f t="shared" si="8"/>
        <v>46777.5</v>
      </c>
      <c r="P52" s="12">
        <f t="shared" si="8"/>
        <v>214195.5</v>
      </c>
      <c r="Q52" s="12">
        <f t="shared" si="8"/>
        <v>682.5</v>
      </c>
      <c r="R52" s="12">
        <f t="shared" si="8"/>
        <v>214195.5</v>
      </c>
      <c r="S52" s="12">
        <f t="shared" si="8"/>
        <v>682.5</v>
      </c>
      <c r="T52" s="13">
        <f t="shared" si="6"/>
        <v>2645787.75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2"/>
  <sheetViews>
    <sheetView zoomScale="41" workbookViewId="0">
      <selection activeCell="C16" sqref="C16:S52"/>
    </sheetView>
  </sheetViews>
  <sheetFormatPr defaultRowHeight="14.6" x14ac:dyDescent="0.4"/>
  <cols>
    <col min="3" max="7" width="10.84375" bestFit="1" customWidth="1"/>
    <col min="8" max="8" width="9.3046875" bestFit="1" customWidth="1"/>
    <col min="9" max="11" width="10.84375" bestFit="1" customWidth="1"/>
    <col min="12" max="12" width="9.3046875" bestFit="1" customWidth="1"/>
    <col min="13" max="13" width="9.84375" bestFit="1" customWidth="1"/>
    <col min="14" max="14" width="10.84375" bestFit="1" customWidth="1"/>
    <col min="15" max="15" width="9.3046875" bestFit="1" customWidth="1"/>
    <col min="16" max="16" width="10.84375" bestFit="1" customWidth="1"/>
    <col min="17" max="18" width="9.3046875" bestFit="1" customWidth="1"/>
    <col min="19" max="19" width="9.84375" bestFit="1" customWidth="1"/>
  </cols>
  <sheetData>
    <row r="1" spans="1: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">
      <c r="A2" t="s">
        <v>21</v>
      </c>
      <c r="B2">
        <v>2010</v>
      </c>
      <c r="C2" s="2">
        <v>164549.11600000001</v>
      </c>
      <c r="D2" s="2">
        <v>228098.74299999999</v>
      </c>
      <c r="E2" s="2">
        <v>468754</v>
      </c>
      <c r="F2" s="2">
        <v>120261.955</v>
      </c>
      <c r="G2" s="2">
        <v>137634</v>
      </c>
      <c r="H2" s="2">
        <v>5186</v>
      </c>
      <c r="I2" s="2">
        <v>210866</v>
      </c>
      <c r="J2" s="2">
        <v>88936</v>
      </c>
      <c r="K2" s="2">
        <v>121930</v>
      </c>
      <c r="L2" s="2">
        <v>5186</v>
      </c>
      <c r="M2" s="2">
        <v>5186</v>
      </c>
      <c r="N2" s="2">
        <v>0</v>
      </c>
      <c r="O2" s="2">
        <v>7644</v>
      </c>
      <c r="P2" s="2">
        <v>76001</v>
      </c>
      <c r="Q2" s="2">
        <v>105</v>
      </c>
      <c r="R2" s="2">
        <v>76001</v>
      </c>
      <c r="S2" s="2">
        <v>105</v>
      </c>
    </row>
    <row r="3" spans="1:19" x14ac:dyDescent="0.4">
      <c r="A3" t="s">
        <v>21</v>
      </c>
      <c r="B3">
        <v>2011</v>
      </c>
      <c r="C3" s="2">
        <v>171230.83300000001</v>
      </c>
      <c r="D3" s="2">
        <v>239770.49400000001</v>
      </c>
      <c r="E3" s="2">
        <v>491016</v>
      </c>
      <c r="F3" s="2">
        <v>133691.27499999999</v>
      </c>
      <c r="G3" s="2">
        <v>138223</v>
      </c>
      <c r="H3" s="2">
        <v>5288</v>
      </c>
      <c r="I3" s="2">
        <v>219089</v>
      </c>
      <c r="J3" s="2">
        <v>92018</v>
      </c>
      <c r="K3" s="2">
        <v>127071</v>
      </c>
      <c r="L3" s="2">
        <v>5288</v>
      </c>
      <c r="M3" s="2">
        <v>5288</v>
      </c>
      <c r="N3" s="2">
        <v>0</v>
      </c>
      <c r="O3" s="2">
        <v>6716</v>
      </c>
      <c r="P3" s="2">
        <v>79916</v>
      </c>
      <c r="Q3" s="2">
        <v>99</v>
      </c>
      <c r="R3" s="2">
        <v>79916</v>
      </c>
      <c r="S3" s="2">
        <v>99</v>
      </c>
    </row>
    <row r="4" spans="1:19" x14ac:dyDescent="0.4">
      <c r="A4" t="s">
        <v>21</v>
      </c>
      <c r="B4">
        <v>2012</v>
      </c>
      <c r="C4" s="2">
        <v>185000.95300000001</v>
      </c>
      <c r="D4" s="2">
        <v>214306.53200000001</v>
      </c>
      <c r="E4" s="2">
        <v>483231</v>
      </c>
      <c r="F4" s="2">
        <v>139491.11300000001</v>
      </c>
      <c r="G4" s="2">
        <v>138169</v>
      </c>
      <c r="H4" s="2">
        <v>5389</v>
      </c>
      <c r="I4" s="2">
        <v>205394</v>
      </c>
      <c r="J4" s="2">
        <v>95100</v>
      </c>
      <c r="K4" s="2">
        <v>110294</v>
      </c>
      <c r="L4" s="2">
        <v>5389</v>
      </c>
      <c r="M4" s="2">
        <v>5389</v>
      </c>
      <c r="N4" s="2">
        <v>0</v>
      </c>
      <c r="O4" s="2">
        <v>5787</v>
      </c>
      <c r="P4" s="2">
        <v>83831</v>
      </c>
      <c r="Q4" s="2">
        <v>92</v>
      </c>
      <c r="R4" s="2">
        <v>83831</v>
      </c>
      <c r="S4" s="2">
        <v>92</v>
      </c>
    </row>
    <row r="5" spans="1:19" x14ac:dyDescent="0.4">
      <c r="A5" t="s">
        <v>21</v>
      </c>
      <c r="B5">
        <v>2013</v>
      </c>
      <c r="C5" s="2">
        <v>196166.80600000001</v>
      </c>
      <c r="D5" s="2">
        <v>226310.57699999999</v>
      </c>
      <c r="E5" s="2">
        <v>508069</v>
      </c>
      <c r="F5" s="2">
        <v>134965.24400000001</v>
      </c>
      <c r="G5" s="2">
        <v>138132</v>
      </c>
      <c r="H5" s="2">
        <v>5429</v>
      </c>
      <c r="I5" s="2">
        <v>234896</v>
      </c>
      <c r="J5" s="2">
        <v>96413</v>
      </c>
      <c r="K5" s="2">
        <v>138483</v>
      </c>
      <c r="L5" s="2">
        <v>5429</v>
      </c>
      <c r="M5" s="2">
        <v>5429</v>
      </c>
      <c r="N5" s="2">
        <v>0</v>
      </c>
      <c r="O5" s="2">
        <v>5393</v>
      </c>
      <c r="P5" s="2">
        <v>85496</v>
      </c>
      <c r="Q5" s="2">
        <v>95</v>
      </c>
      <c r="R5" s="2">
        <v>85496</v>
      </c>
      <c r="S5" s="2">
        <v>95</v>
      </c>
    </row>
    <row r="6" spans="1:19" x14ac:dyDescent="0.4">
      <c r="A6" t="s">
        <v>21</v>
      </c>
      <c r="B6">
        <v>2014</v>
      </c>
      <c r="C6" s="2">
        <v>189014.87400000001</v>
      </c>
      <c r="D6" s="2">
        <v>233784.50700000001</v>
      </c>
      <c r="E6" s="2">
        <v>510059</v>
      </c>
      <c r="F6" s="2">
        <v>134312.984</v>
      </c>
      <c r="G6" s="2">
        <v>150377</v>
      </c>
      <c r="H6" s="2">
        <v>5469</v>
      </c>
      <c r="I6" s="2">
        <v>225270</v>
      </c>
      <c r="J6" s="2">
        <v>97727</v>
      </c>
      <c r="K6" s="2">
        <v>127544</v>
      </c>
      <c r="L6" s="2">
        <v>5469</v>
      </c>
      <c r="M6" s="2">
        <v>5469</v>
      </c>
      <c r="N6" s="2">
        <v>0</v>
      </c>
      <c r="O6" s="2">
        <v>4998</v>
      </c>
      <c r="P6" s="2">
        <v>87162</v>
      </c>
      <c r="Q6" s="2">
        <v>98</v>
      </c>
      <c r="R6" s="2">
        <v>87162</v>
      </c>
      <c r="S6" s="2">
        <v>98</v>
      </c>
    </row>
    <row r="7" spans="1:19" x14ac:dyDescent="0.4">
      <c r="A7" t="s">
        <v>21</v>
      </c>
      <c r="B7">
        <v>2015</v>
      </c>
      <c r="C7" s="2">
        <v>190158.02299999999</v>
      </c>
      <c r="D7" s="2">
        <v>245666.49</v>
      </c>
      <c r="E7" s="2">
        <v>520193</v>
      </c>
      <c r="F7" s="2">
        <v>122312.887</v>
      </c>
      <c r="G7" s="2">
        <v>144844</v>
      </c>
      <c r="H7" s="2">
        <v>5579</v>
      </c>
      <c r="I7" s="2">
        <v>252940</v>
      </c>
      <c r="J7" s="2">
        <v>94571</v>
      </c>
      <c r="K7" s="2">
        <v>158369</v>
      </c>
      <c r="L7" s="2">
        <v>5579</v>
      </c>
      <c r="M7" s="2">
        <v>5579</v>
      </c>
      <c r="N7" s="2">
        <v>0</v>
      </c>
      <c r="O7" s="2">
        <v>4624</v>
      </c>
      <c r="P7" s="2">
        <v>84270</v>
      </c>
      <c r="Q7" s="2">
        <v>98</v>
      </c>
      <c r="R7" s="2">
        <v>84270</v>
      </c>
      <c r="S7" s="2">
        <v>98</v>
      </c>
    </row>
    <row r="8" spans="1:19" x14ac:dyDescent="0.4">
      <c r="A8" t="s">
        <v>21</v>
      </c>
      <c r="B8">
        <v>2016</v>
      </c>
      <c r="C8" s="2">
        <v>206693.77900000001</v>
      </c>
      <c r="D8" s="2">
        <v>240139.883</v>
      </c>
      <c r="E8" s="2">
        <v>528311</v>
      </c>
      <c r="F8" s="2">
        <v>123862.62699999999</v>
      </c>
      <c r="G8" s="2">
        <v>155034</v>
      </c>
      <c r="H8" s="2">
        <v>5689</v>
      </c>
      <c r="I8" s="2">
        <v>249490</v>
      </c>
      <c r="J8" s="2">
        <v>91415</v>
      </c>
      <c r="K8" s="2">
        <v>158074</v>
      </c>
      <c r="L8" s="2">
        <v>5689</v>
      </c>
      <c r="M8" s="2">
        <v>5689</v>
      </c>
      <c r="N8" s="2">
        <v>0</v>
      </c>
      <c r="O8" s="2">
        <v>4249</v>
      </c>
      <c r="P8" s="2">
        <v>81378</v>
      </c>
      <c r="Q8" s="2">
        <v>99</v>
      </c>
      <c r="R8" s="2">
        <v>81378</v>
      </c>
      <c r="S8" s="2">
        <v>99</v>
      </c>
    </row>
    <row r="9" spans="1:19" x14ac:dyDescent="0.4">
      <c r="A9" t="s">
        <v>21</v>
      </c>
      <c r="B9">
        <v>2017</v>
      </c>
      <c r="C9" s="2">
        <v>211660.56099999999</v>
      </c>
      <c r="D9" s="2">
        <v>245761.63099999999</v>
      </c>
      <c r="E9" s="2">
        <v>543023</v>
      </c>
      <c r="F9" s="2">
        <v>130556.98699999999</v>
      </c>
      <c r="G9" s="2">
        <v>143049</v>
      </c>
      <c r="H9" s="2">
        <v>5664</v>
      </c>
      <c r="I9" s="2">
        <v>269538</v>
      </c>
      <c r="J9" s="2">
        <v>95604</v>
      </c>
      <c r="K9" s="2">
        <v>173934</v>
      </c>
      <c r="L9" s="2">
        <v>5664</v>
      </c>
      <c r="M9" s="2">
        <v>5664</v>
      </c>
      <c r="N9" s="2">
        <v>0</v>
      </c>
      <c r="O9" s="2">
        <v>4340</v>
      </c>
      <c r="P9" s="2">
        <v>85504</v>
      </c>
      <c r="Q9" s="2">
        <v>97</v>
      </c>
      <c r="R9" s="2">
        <v>85504</v>
      </c>
      <c r="S9" s="2">
        <v>97</v>
      </c>
    </row>
    <row r="10" spans="1:19" x14ac:dyDescent="0.4">
      <c r="A10" t="s">
        <v>21</v>
      </c>
      <c r="B10">
        <v>2018</v>
      </c>
      <c r="C10" s="2">
        <v>218988.58499999999</v>
      </c>
      <c r="D10" s="2">
        <v>259309.84</v>
      </c>
      <c r="E10" s="2">
        <v>568023</v>
      </c>
      <c r="F10" s="2">
        <v>127734.289</v>
      </c>
      <c r="G10" s="2">
        <v>144685</v>
      </c>
      <c r="H10" s="2">
        <v>5638</v>
      </c>
      <c r="I10" s="2">
        <v>295993</v>
      </c>
      <c r="J10" s="2">
        <v>99793</v>
      </c>
      <c r="K10" s="2">
        <v>196200</v>
      </c>
      <c r="L10" s="2">
        <v>5638</v>
      </c>
      <c r="M10" s="2">
        <v>5638</v>
      </c>
      <c r="N10" s="2">
        <v>0</v>
      </c>
      <c r="O10" s="2">
        <v>4431</v>
      </c>
      <c r="P10" s="2">
        <v>89630</v>
      </c>
      <c r="Q10" s="2">
        <v>95</v>
      </c>
      <c r="R10" s="2">
        <v>89630</v>
      </c>
      <c r="S10" s="2">
        <v>95</v>
      </c>
    </row>
    <row r="11" spans="1:19" x14ac:dyDescent="0.4">
      <c r="A11" t="s">
        <v>21</v>
      </c>
      <c r="B11">
        <v>2019</v>
      </c>
      <c r="C11" s="2">
        <v>220942.519</v>
      </c>
      <c r="D11" s="2">
        <v>243761.90700000001</v>
      </c>
      <c r="E11" s="2">
        <v>550846</v>
      </c>
      <c r="F11" s="2">
        <v>129979.058</v>
      </c>
      <c r="G11" s="2">
        <v>143394</v>
      </c>
      <c r="H11" s="2">
        <v>5394</v>
      </c>
      <c r="I11" s="2">
        <v>278210</v>
      </c>
      <c r="J11" s="2">
        <v>95486</v>
      </c>
      <c r="K11" s="2">
        <v>182725</v>
      </c>
      <c r="L11" s="2">
        <v>5394</v>
      </c>
      <c r="M11" s="2">
        <v>5394</v>
      </c>
      <c r="N11" s="2">
        <v>0</v>
      </c>
      <c r="O11" s="2">
        <v>3950</v>
      </c>
      <c r="P11" s="2">
        <v>86038</v>
      </c>
      <c r="Q11" s="2">
        <v>104</v>
      </c>
      <c r="R11" s="2">
        <v>86038</v>
      </c>
      <c r="S11" s="2">
        <v>104</v>
      </c>
    </row>
    <row r="12" spans="1:19" x14ac:dyDescent="0.4">
      <c r="A12" t="s">
        <v>21</v>
      </c>
      <c r="B12">
        <v>2020</v>
      </c>
      <c r="C12" s="2">
        <v>228807.06599999999</v>
      </c>
      <c r="D12" s="2">
        <v>211925.902</v>
      </c>
      <c r="E12" s="2">
        <v>523292</v>
      </c>
      <c r="F12" s="2">
        <v>120853.34600000001</v>
      </c>
      <c r="G12" s="2">
        <v>148125</v>
      </c>
      <c r="H12" s="2">
        <v>5153</v>
      </c>
      <c r="I12" s="2">
        <v>254911</v>
      </c>
      <c r="J12" s="2">
        <v>91182</v>
      </c>
      <c r="K12" s="2">
        <v>163730</v>
      </c>
      <c r="L12" s="2">
        <v>5153</v>
      </c>
      <c r="M12" s="2">
        <v>5153</v>
      </c>
      <c r="N12" s="2">
        <v>0</v>
      </c>
      <c r="O12" s="2">
        <v>3470</v>
      </c>
      <c r="P12" s="2">
        <v>82446</v>
      </c>
      <c r="Q12" s="2">
        <v>113</v>
      </c>
      <c r="R12" s="2">
        <v>82446</v>
      </c>
      <c r="S12" s="2">
        <v>113</v>
      </c>
    </row>
    <row r="13" spans="1:19" x14ac:dyDescent="0.4">
      <c r="A13" t="s">
        <v>21</v>
      </c>
      <c r="B13">
        <v>2021</v>
      </c>
      <c r="C13" s="2">
        <v>225234.652</v>
      </c>
      <c r="D13" s="2">
        <v>250098.44200000001</v>
      </c>
      <c r="E13" s="2">
        <v>559591</v>
      </c>
      <c r="F13" s="2">
        <v>132733.50899999999</v>
      </c>
      <c r="G13" s="2">
        <v>144934</v>
      </c>
      <c r="H13" s="2">
        <v>5085</v>
      </c>
      <c r="I13" s="2">
        <v>282735</v>
      </c>
      <c r="J13" s="2">
        <v>92733</v>
      </c>
      <c r="K13" s="2">
        <v>190001</v>
      </c>
      <c r="L13" s="2">
        <v>5085</v>
      </c>
      <c r="M13" s="2">
        <v>5085</v>
      </c>
      <c r="N13" s="2">
        <v>0</v>
      </c>
      <c r="O13" s="2">
        <v>3390</v>
      </c>
      <c r="P13" s="2">
        <v>84153</v>
      </c>
      <c r="Q13" s="2">
        <v>105</v>
      </c>
      <c r="R13" s="2">
        <v>84153</v>
      </c>
      <c r="S13" s="2">
        <v>105</v>
      </c>
    </row>
    <row r="14" spans="1:19" x14ac:dyDescent="0.4">
      <c r="A14" t="s">
        <v>21</v>
      </c>
      <c r="B14">
        <v>2022</v>
      </c>
      <c r="C14" s="2">
        <v>230742.50599999999</v>
      </c>
      <c r="D14" s="2">
        <v>232675.951</v>
      </c>
      <c r="E14" s="2">
        <v>549375</v>
      </c>
      <c r="F14" s="2">
        <v>115488.583</v>
      </c>
      <c r="G14" s="2">
        <v>141300</v>
      </c>
      <c r="H14" s="2">
        <v>5017</v>
      </c>
      <c r="I14" s="2">
        <v>294314</v>
      </c>
      <c r="J14" s="2">
        <v>94283</v>
      </c>
      <c r="K14" s="2">
        <v>200031</v>
      </c>
      <c r="L14" s="2">
        <v>5017</v>
      </c>
      <c r="M14" s="2">
        <v>5017</v>
      </c>
      <c r="N14" s="2">
        <v>0</v>
      </c>
      <c r="O14" s="2">
        <v>3310</v>
      </c>
      <c r="P14" s="2">
        <v>85860</v>
      </c>
      <c r="Q14" s="2">
        <v>96</v>
      </c>
      <c r="R14" s="2">
        <v>85860</v>
      </c>
      <c r="S14" s="2">
        <v>96</v>
      </c>
    </row>
    <row r="15" spans="1:19" x14ac:dyDescent="0.4">
      <c r="A15" t="s">
        <v>21</v>
      </c>
      <c r="B15">
        <v>2023</v>
      </c>
      <c r="C15" s="2">
        <v>227804.549</v>
      </c>
      <c r="D15" s="2">
        <v>209848.06899999999</v>
      </c>
      <c r="E15" s="2">
        <v>525898</v>
      </c>
      <c r="F15" s="2">
        <v>115734.015</v>
      </c>
      <c r="G15" s="2">
        <v>144905</v>
      </c>
      <c r="H15" s="2">
        <v>5567</v>
      </c>
      <c r="I15" s="2">
        <v>265425</v>
      </c>
      <c r="J15" s="2">
        <v>96904</v>
      </c>
      <c r="K15" s="2">
        <v>168520</v>
      </c>
      <c r="L15" s="2">
        <v>5567</v>
      </c>
      <c r="M15" s="2">
        <v>5567</v>
      </c>
      <c r="N15" s="2">
        <v>0</v>
      </c>
      <c r="O15" s="2">
        <v>3092</v>
      </c>
      <c r="P15" s="2">
        <v>88132</v>
      </c>
      <c r="Q15" s="2">
        <v>113</v>
      </c>
      <c r="R15" s="2">
        <v>88132</v>
      </c>
      <c r="S15" s="2">
        <v>113</v>
      </c>
    </row>
    <row r="16" spans="1:19" x14ac:dyDescent="0.4">
      <c r="A16" t="s">
        <v>21</v>
      </c>
      <c r="B16">
        <v>2024</v>
      </c>
      <c r="C16" s="13">
        <f>(C$52-C$15)/($B$52-$B$15)*($B16-$B$15)+C$15</f>
        <v>229356.77833783784</v>
      </c>
      <c r="D16" s="13">
        <f>(D$52-D$15)/($B$52-$B$15)*($B16-$B$15)+D$15</f>
        <v>210152.17094594592</v>
      </c>
      <c r="E16" s="13">
        <f t="shared" ref="E16:S17" si="0">(E$52-E$15)/($B$52-$B$15)*($B16-$B$15)+E$15</f>
        <v>532773.44594594592</v>
      </c>
      <c r="F16" s="13">
        <f t="shared" si="0"/>
        <v>117564.6992027027</v>
      </c>
      <c r="G16" s="13">
        <f t="shared" si="0"/>
        <v>146860.70270270269</v>
      </c>
      <c r="H16" s="13">
        <f t="shared" si="0"/>
        <v>5642.7162162162158</v>
      </c>
      <c r="I16" s="13">
        <f t="shared" si="0"/>
        <v>268505.67567567568</v>
      </c>
      <c r="J16" s="13">
        <f t="shared" si="0"/>
        <v>98118.932432432426</v>
      </c>
      <c r="K16" s="13">
        <f t="shared" si="0"/>
        <v>170385.77027027027</v>
      </c>
      <c r="L16" s="13">
        <f t="shared" si="0"/>
        <v>5642.7162162162158</v>
      </c>
      <c r="M16" s="13">
        <f t="shared" si="0"/>
        <v>5642.7162162162158</v>
      </c>
      <c r="N16" s="13">
        <f t="shared" si="0"/>
        <v>0</v>
      </c>
      <c r="O16" s="13">
        <f t="shared" si="0"/>
        <v>3195.8918918918921</v>
      </c>
      <c r="P16" s="13">
        <f t="shared" si="0"/>
        <v>89166.4054054054</v>
      </c>
      <c r="Q16" s="13">
        <f t="shared" si="0"/>
        <v>113.91891891891892</v>
      </c>
      <c r="R16" s="13">
        <f t="shared" si="0"/>
        <v>89166.4054054054</v>
      </c>
      <c r="S16" s="13">
        <f t="shared" si="0"/>
        <v>113.91891891891892</v>
      </c>
    </row>
    <row r="17" spans="1:19" x14ac:dyDescent="0.4">
      <c r="A17" t="s">
        <v>21</v>
      </c>
      <c r="B17">
        <v>2025</v>
      </c>
      <c r="C17" s="13">
        <f>(C$52-C$15)/($B$52-$B$15)*($B17-$B$15)+C$15</f>
        <v>230909.00767567568</v>
      </c>
      <c r="D17" s="13">
        <f>(D$52-D$15)/($B$52-$B$15)*($B17-$B$15)+D$15</f>
        <v>210456.27289189189</v>
      </c>
      <c r="E17" s="13">
        <f t="shared" si="0"/>
        <v>539648.89189189184</v>
      </c>
      <c r="F17" s="13">
        <f t="shared" si="0"/>
        <v>119395.3834054054</v>
      </c>
      <c r="G17" s="13">
        <f t="shared" si="0"/>
        <v>148816.40540540541</v>
      </c>
      <c r="H17" s="13">
        <f t="shared" si="0"/>
        <v>5718.4324324324325</v>
      </c>
      <c r="I17" s="13">
        <f t="shared" si="0"/>
        <v>271586.35135135136</v>
      </c>
      <c r="J17" s="13">
        <f t="shared" ref="E17:S34" si="1">(J$52-J$15)/($B$52-$B$15)*($B17-$B$15)+J$15</f>
        <v>99333.864864864867</v>
      </c>
      <c r="K17" s="13">
        <f t="shared" si="1"/>
        <v>172251.54054054053</v>
      </c>
      <c r="L17" s="13">
        <f t="shared" si="1"/>
        <v>5718.4324324324325</v>
      </c>
      <c r="M17" s="13">
        <f t="shared" si="1"/>
        <v>5718.4324324324325</v>
      </c>
      <c r="N17" s="13">
        <f t="shared" si="1"/>
        <v>0</v>
      </c>
      <c r="O17" s="13">
        <f t="shared" si="1"/>
        <v>3299.7837837837837</v>
      </c>
      <c r="P17" s="13">
        <f t="shared" si="1"/>
        <v>90200.810810810814</v>
      </c>
      <c r="Q17" s="13">
        <f t="shared" si="1"/>
        <v>114.83783783783784</v>
      </c>
      <c r="R17" s="13">
        <f t="shared" si="1"/>
        <v>90200.810810810814</v>
      </c>
      <c r="S17" s="13">
        <f t="shared" si="1"/>
        <v>114.83783783783784</v>
      </c>
    </row>
    <row r="18" spans="1:19" x14ac:dyDescent="0.4">
      <c r="A18" t="s">
        <v>21</v>
      </c>
      <c r="B18">
        <v>2026</v>
      </c>
      <c r="C18" s="13">
        <f t="shared" ref="C18:C51" si="2">(C$52-C$15)/($B$52-$B$15)*($B18-$B$15)+C$15</f>
        <v>232461.23701351351</v>
      </c>
      <c r="D18" s="13">
        <f>(D$52-D$15)/($B$52-$B$15)*($B18-$B$15)+D$15</f>
        <v>210760.37483783782</v>
      </c>
      <c r="E18" s="13">
        <f t="shared" si="1"/>
        <v>546524.33783783787</v>
      </c>
      <c r="F18" s="13">
        <f t="shared" si="1"/>
        <v>121226.0676081081</v>
      </c>
      <c r="G18" s="13">
        <f t="shared" si="1"/>
        <v>150772.10810810811</v>
      </c>
      <c r="H18" s="13">
        <f t="shared" si="1"/>
        <v>5794.1486486486483</v>
      </c>
      <c r="I18" s="13">
        <f t="shared" si="1"/>
        <v>274667.02702702704</v>
      </c>
      <c r="J18" s="13">
        <f t="shared" si="1"/>
        <v>100548.79729729729</v>
      </c>
      <c r="K18" s="13">
        <f t="shared" si="1"/>
        <v>174117.3108108108</v>
      </c>
      <c r="L18" s="13">
        <f t="shared" si="1"/>
        <v>5794.1486486486483</v>
      </c>
      <c r="M18" s="13">
        <f t="shared" si="1"/>
        <v>5794.1486486486483</v>
      </c>
      <c r="N18" s="13">
        <f t="shared" si="1"/>
        <v>0</v>
      </c>
      <c r="O18" s="13">
        <f t="shared" si="1"/>
        <v>3403.6756756756758</v>
      </c>
      <c r="P18" s="13">
        <f t="shared" si="1"/>
        <v>91235.216216216213</v>
      </c>
      <c r="Q18" s="13">
        <f t="shared" si="1"/>
        <v>115.75675675675676</v>
      </c>
      <c r="R18" s="13">
        <f t="shared" si="1"/>
        <v>91235.216216216213</v>
      </c>
      <c r="S18" s="13">
        <f t="shared" si="1"/>
        <v>115.75675675675676</v>
      </c>
    </row>
    <row r="19" spans="1:19" x14ac:dyDescent="0.4">
      <c r="A19" t="s">
        <v>21</v>
      </c>
      <c r="B19">
        <v>2027</v>
      </c>
      <c r="C19" s="13">
        <f t="shared" si="2"/>
        <v>234013.46635135135</v>
      </c>
      <c r="D19" s="13">
        <f t="shared" ref="D19:D51" si="3">(D$52-D$15)/($B$52-$B$15)*($B19-$B$15)+D$15</f>
        <v>211064.47678378379</v>
      </c>
      <c r="E19" s="13">
        <f t="shared" si="1"/>
        <v>553399.78378378379</v>
      </c>
      <c r="F19" s="13">
        <f t="shared" si="1"/>
        <v>123056.75181081081</v>
      </c>
      <c r="G19" s="13">
        <f t="shared" si="1"/>
        <v>152727.8108108108</v>
      </c>
      <c r="H19" s="13">
        <f t="shared" si="1"/>
        <v>5869.864864864865</v>
      </c>
      <c r="I19" s="13">
        <f t="shared" si="1"/>
        <v>277747.70270270272</v>
      </c>
      <c r="J19" s="13">
        <f t="shared" si="1"/>
        <v>101763.72972972973</v>
      </c>
      <c r="K19" s="13">
        <f t="shared" si="1"/>
        <v>175983.08108108109</v>
      </c>
      <c r="L19" s="13">
        <f t="shared" si="1"/>
        <v>5869.864864864865</v>
      </c>
      <c r="M19" s="13">
        <f t="shared" si="1"/>
        <v>5869.864864864865</v>
      </c>
      <c r="N19" s="13">
        <f t="shared" si="1"/>
        <v>0</v>
      </c>
      <c r="O19" s="13">
        <f t="shared" si="1"/>
        <v>3507.5675675675675</v>
      </c>
      <c r="P19" s="13">
        <f t="shared" si="1"/>
        <v>92269.621621621627</v>
      </c>
      <c r="Q19" s="13">
        <f t="shared" si="1"/>
        <v>116.67567567567568</v>
      </c>
      <c r="R19" s="13">
        <f t="shared" si="1"/>
        <v>92269.621621621627</v>
      </c>
      <c r="S19" s="13">
        <f t="shared" si="1"/>
        <v>116.67567567567568</v>
      </c>
    </row>
    <row r="20" spans="1:19" x14ac:dyDescent="0.4">
      <c r="A20" t="s">
        <v>21</v>
      </c>
      <c r="B20">
        <v>2028</v>
      </c>
      <c r="C20" s="13">
        <f t="shared" si="2"/>
        <v>235565.69568918919</v>
      </c>
      <c r="D20" s="13">
        <f t="shared" si="3"/>
        <v>211368.57872972972</v>
      </c>
      <c r="E20" s="13">
        <f t="shared" si="1"/>
        <v>560275.2297297297</v>
      </c>
      <c r="F20" s="13">
        <f t="shared" si="1"/>
        <v>124887.43601351351</v>
      </c>
      <c r="G20" s="13">
        <f t="shared" si="1"/>
        <v>154683.51351351352</v>
      </c>
      <c r="H20" s="13">
        <f t="shared" si="1"/>
        <v>5945.5810810810808</v>
      </c>
      <c r="I20" s="13">
        <f t="shared" si="1"/>
        <v>280828.3783783784</v>
      </c>
      <c r="J20" s="13">
        <f t="shared" si="1"/>
        <v>102978.66216216216</v>
      </c>
      <c r="K20" s="13">
        <f t="shared" si="1"/>
        <v>177848.85135135136</v>
      </c>
      <c r="L20" s="13">
        <f t="shared" si="1"/>
        <v>5945.5810810810808</v>
      </c>
      <c r="M20" s="13">
        <f t="shared" si="1"/>
        <v>5945.5810810810808</v>
      </c>
      <c r="N20" s="13">
        <f t="shared" si="1"/>
        <v>0</v>
      </c>
      <c r="O20" s="13">
        <f t="shared" si="1"/>
        <v>3611.4594594594596</v>
      </c>
      <c r="P20" s="13">
        <f t="shared" si="1"/>
        <v>93304.027027027027</v>
      </c>
      <c r="Q20" s="13">
        <f t="shared" si="1"/>
        <v>117.5945945945946</v>
      </c>
      <c r="R20" s="13">
        <f t="shared" si="1"/>
        <v>93304.027027027027</v>
      </c>
      <c r="S20" s="13">
        <f t="shared" si="1"/>
        <v>117.5945945945946</v>
      </c>
    </row>
    <row r="21" spans="1:19" x14ac:dyDescent="0.4">
      <c r="A21" t="s">
        <v>21</v>
      </c>
      <c r="B21">
        <v>2029</v>
      </c>
      <c r="C21" s="13">
        <f t="shared" si="2"/>
        <v>237117.92502702703</v>
      </c>
      <c r="D21" s="13">
        <f t="shared" si="3"/>
        <v>211672.68067567566</v>
      </c>
      <c r="E21" s="13">
        <f t="shared" si="1"/>
        <v>567150.67567567562</v>
      </c>
      <c r="F21" s="13">
        <f t="shared" si="1"/>
        <v>126718.12021621622</v>
      </c>
      <c r="G21" s="13">
        <f t="shared" si="1"/>
        <v>156639.21621621621</v>
      </c>
      <c r="H21" s="13">
        <f t="shared" si="1"/>
        <v>6021.2972972972975</v>
      </c>
      <c r="I21" s="13">
        <f t="shared" si="1"/>
        <v>283909.05405405408</v>
      </c>
      <c r="J21" s="13">
        <f t="shared" si="1"/>
        <v>104193.5945945946</v>
      </c>
      <c r="K21" s="13">
        <f t="shared" si="1"/>
        <v>179714.62162162163</v>
      </c>
      <c r="L21" s="13">
        <f t="shared" si="1"/>
        <v>6021.2972972972975</v>
      </c>
      <c r="M21" s="13">
        <f t="shared" si="1"/>
        <v>6021.2972972972975</v>
      </c>
      <c r="N21" s="13">
        <f t="shared" si="1"/>
        <v>0</v>
      </c>
      <c r="O21" s="13">
        <f t="shared" si="1"/>
        <v>3715.3513513513512</v>
      </c>
      <c r="P21" s="13">
        <f t="shared" si="1"/>
        <v>94338.432432432426</v>
      </c>
      <c r="Q21" s="13">
        <f t="shared" si="1"/>
        <v>118.51351351351352</v>
      </c>
      <c r="R21" s="13">
        <f t="shared" si="1"/>
        <v>94338.432432432426</v>
      </c>
      <c r="S21" s="13">
        <f t="shared" si="1"/>
        <v>118.51351351351352</v>
      </c>
    </row>
    <row r="22" spans="1:19" x14ac:dyDescent="0.4">
      <c r="A22" t="s">
        <v>21</v>
      </c>
      <c r="B22">
        <v>2030</v>
      </c>
      <c r="C22" s="13">
        <f t="shared" si="2"/>
        <v>238670.15436486487</v>
      </c>
      <c r="D22" s="13">
        <f t="shared" si="3"/>
        <v>211976.78262162162</v>
      </c>
      <c r="E22" s="13">
        <f t="shared" si="1"/>
        <v>574026.12162162166</v>
      </c>
      <c r="F22" s="13">
        <f t="shared" si="1"/>
        <v>128548.80441891892</v>
      </c>
      <c r="G22" s="13">
        <f t="shared" si="1"/>
        <v>158594.91891891891</v>
      </c>
      <c r="H22" s="13">
        <f t="shared" si="1"/>
        <v>6097.0135135135133</v>
      </c>
      <c r="I22" s="13">
        <f t="shared" si="1"/>
        <v>286989.7297297297</v>
      </c>
      <c r="J22" s="13">
        <f t="shared" si="1"/>
        <v>105408.52702702703</v>
      </c>
      <c r="K22" s="13">
        <f t="shared" si="1"/>
        <v>181580.39189189189</v>
      </c>
      <c r="L22" s="13">
        <f t="shared" si="1"/>
        <v>6097.0135135135133</v>
      </c>
      <c r="M22" s="13">
        <f t="shared" si="1"/>
        <v>6097.0135135135133</v>
      </c>
      <c r="N22" s="13">
        <f t="shared" si="1"/>
        <v>0</v>
      </c>
      <c r="O22" s="13">
        <f t="shared" si="1"/>
        <v>3819.2432432432433</v>
      </c>
      <c r="P22" s="13">
        <f t="shared" si="1"/>
        <v>95372.83783783784</v>
      </c>
      <c r="Q22" s="13">
        <f t="shared" si="1"/>
        <v>119.43243243243244</v>
      </c>
      <c r="R22" s="13">
        <f t="shared" si="1"/>
        <v>95372.83783783784</v>
      </c>
      <c r="S22" s="13">
        <f t="shared" si="1"/>
        <v>119.43243243243244</v>
      </c>
    </row>
    <row r="23" spans="1:19" x14ac:dyDescent="0.4">
      <c r="A23" t="s">
        <v>21</v>
      </c>
      <c r="B23">
        <v>2031</v>
      </c>
      <c r="C23" s="13">
        <f t="shared" si="2"/>
        <v>240222.3837027027</v>
      </c>
      <c r="D23" s="13">
        <f t="shared" si="3"/>
        <v>212280.88456756755</v>
      </c>
      <c r="E23" s="13">
        <f t="shared" si="1"/>
        <v>580901.56756756757</v>
      </c>
      <c r="F23" s="13">
        <f t="shared" si="1"/>
        <v>130379.48862162163</v>
      </c>
      <c r="G23" s="13">
        <f t="shared" si="1"/>
        <v>160550.62162162163</v>
      </c>
      <c r="H23" s="13">
        <f t="shared" si="1"/>
        <v>6172.72972972973</v>
      </c>
      <c r="I23" s="13">
        <f t="shared" si="1"/>
        <v>290070.40540540538</v>
      </c>
      <c r="J23" s="13">
        <f t="shared" si="1"/>
        <v>106623.45945945947</v>
      </c>
      <c r="K23" s="13">
        <f t="shared" si="1"/>
        <v>183446.16216216216</v>
      </c>
      <c r="L23" s="13">
        <f t="shared" si="1"/>
        <v>6172.72972972973</v>
      </c>
      <c r="M23" s="13">
        <f t="shared" si="1"/>
        <v>6172.72972972973</v>
      </c>
      <c r="N23" s="13">
        <f t="shared" si="1"/>
        <v>0</v>
      </c>
      <c r="O23" s="13">
        <f t="shared" si="1"/>
        <v>3923.135135135135</v>
      </c>
      <c r="P23" s="13">
        <f t="shared" si="1"/>
        <v>96407.24324324324</v>
      </c>
      <c r="Q23" s="13">
        <f t="shared" si="1"/>
        <v>120.35135135135135</v>
      </c>
      <c r="R23" s="13">
        <f t="shared" si="1"/>
        <v>96407.24324324324</v>
      </c>
      <c r="S23" s="13">
        <f t="shared" si="1"/>
        <v>120.35135135135135</v>
      </c>
    </row>
    <row r="24" spans="1:19" x14ac:dyDescent="0.4">
      <c r="A24" t="s">
        <v>21</v>
      </c>
      <c r="B24">
        <v>2032</v>
      </c>
      <c r="C24" s="13">
        <f t="shared" si="2"/>
        <v>241774.61304054054</v>
      </c>
      <c r="D24" s="13">
        <f t="shared" si="3"/>
        <v>212584.98651351349</v>
      </c>
      <c r="E24" s="13">
        <f t="shared" si="1"/>
        <v>587777.01351351349</v>
      </c>
      <c r="F24" s="13">
        <f t="shared" si="1"/>
        <v>132210.17282432434</v>
      </c>
      <c r="G24" s="13">
        <f t="shared" si="1"/>
        <v>162506.32432432432</v>
      </c>
      <c r="H24" s="13">
        <f t="shared" si="1"/>
        <v>6248.4459459459458</v>
      </c>
      <c r="I24" s="13">
        <f t="shared" si="1"/>
        <v>293151.08108108107</v>
      </c>
      <c r="J24" s="13">
        <f t="shared" si="1"/>
        <v>107838.39189189189</v>
      </c>
      <c r="K24" s="13">
        <f t="shared" si="1"/>
        <v>185311.93243243243</v>
      </c>
      <c r="L24" s="13">
        <f t="shared" si="1"/>
        <v>6248.4459459459458</v>
      </c>
      <c r="M24" s="13">
        <f t="shared" si="1"/>
        <v>6248.4459459459458</v>
      </c>
      <c r="N24" s="13">
        <f t="shared" si="1"/>
        <v>0</v>
      </c>
      <c r="O24" s="13">
        <f t="shared" si="1"/>
        <v>4027.0270270270271</v>
      </c>
      <c r="P24" s="13">
        <f t="shared" si="1"/>
        <v>97441.648648648654</v>
      </c>
      <c r="Q24" s="13">
        <f t="shared" si="1"/>
        <v>121.27027027027027</v>
      </c>
      <c r="R24" s="13">
        <f t="shared" si="1"/>
        <v>97441.648648648654</v>
      </c>
      <c r="S24" s="13">
        <f t="shared" si="1"/>
        <v>121.27027027027027</v>
      </c>
    </row>
    <row r="25" spans="1:19" x14ac:dyDescent="0.4">
      <c r="A25" t="s">
        <v>21</v>
      </c>
      <c r="B25">
        <v>2033</v>
      </c>
      <c r="C25" s="13">
        <f t="shared" si="2"/>
        <v>243326.84237837835</v>
      </c>
      <c r="D25" s="13">
        <f t="shared" si="3"/>
        <v>212889.08845945945</v>
      </c>
      <c r="E25" s="13">
        <f t="shared" si="1"/>
        <v>594652.45945945941</v>
      </c>
      <c r="F25" s="13">
        <f t="shared" si="1"/>
        <v>134040.85702702703</v>
      </c>
      <c r="G25" s="13">
        <f t="shared" si="1"/>
        <v>164462.02702702704</v>
      </c>
      <c r="H25" s="13">
        <f t="shared" si="1"/>
        <v>6324.1621621621616</v>
      </c>
      <c r="I25" s="13">
        <f t="shared" si="1"/>
        <v>296231.75675675675</v>
      </c>
      <c r="J25" s="13">
        <f t="shared" si="1"/>
        <v>109053.32432432432</v>
      </c>
      <c r="K25" s="13">
        <f t="shared" si="1"/>
        <v>187177.70270270269</v>
      </c>
      <c r="L25" s="13">
        <f t="shared" si="1"/>
        <v>6324.1621621621616</v>
      </c>
      <c r="M25" s="13">
        <f t="shared" si="1"/>
        <v>6324.1621621621616</v>
      </c>
      <c r="N25" s="13">
        <f t="shared" si="1"/>
        <v>0</v>
      </c>
      <c r="O25" s="13">
        <f t="shared" si="1"/>
        <v>4130.9189189189192</v>
      </c>
      <c r="P25" s="13">
        <f t="shared" si="1"/>
        <v>98476.054054054053</v>
      </c>
      <c r="Q25" s="13">
        <f t="shared" si="1"/>
        <v>122.18918918918919</v>
      </c>
      <c r="R25" s="13">
        <f t="shared" si="1"/>
        <v>98476.054054054053</v>
      </c>
      <c r="S25" s="13">
        <f t="shared" si="1"/>
        <v>122.18918918918919</v>
      </c>
    </row>
    <row r="26" spans="1:19" x14ac:dyDescent="0.4">
      <c r="A26" t="s">
        <v>21</v>
      </c>
      <c r="B26">
        <v>2034</v>
      </c>
      <c r="C26" s="13">
        <f t="shared" si="2"/>
        <v>244879.07171621619</v>
      </c>
      <c r="D26" s="13">
        <f t="shared" si="3"/>
        <v>213193.19040540539</v>
      </c>
      <c r="E26" s="13">
        <f t="shared" si="1"/>
        <v>601527.90540540544</v>
      </c>
      <c r="F26" s="13">
        <f t="shared" si="1"/>
        <v>135871.54122972974</v>
      </c>
      <c r="G26" s="13">
        <f t="shared" si="1"/>
        <v>166417.72972972973</v>
      </c>
      <c r="H26" s="13">
        <f t="shared" si="1"/>
        <v>6399.8783783783783</v>
      </c>
      <c r="I26" s="13">
        <f t="shared" si="1"/>
        <v>299312.43243243243</v>
      </c>
      <c r="J26" s="13">
        <f t="shared" si="1"/>
        <v>110268.25675675676</v>
      </c>
      <c r="K26" s="13">
        <f t="shared" si="1"/>
        <v>189043.47297297296</v>
      </c>
      <c r="L26" s="13">
        <f t="shared" si="1"/>
        <v>6399.8783783783783</v>
      </c>
      <c r="M26" s="13">
        <f t="shared" si="1"/>
        <v>6399.8783783783783</v>
      </c>
      <c r="N26" s="13">
        <f t="shared" si="1"/>
        <v>0</v>
      </c>
      <c r="O26" s="13">
        <f t="shared" si="1"/>
        <v>4234.8108108108108</v>
      </c>
      <c r="P26" s="13">
        <f t="shared" si="1"/>
        <v>99510.459459459467</v>
      </c>
      <c r="Q26" s="13">
        <f t="shared" si="1"/>
        <v>123.10810810810811</v>
      </c>
      <c r="R26" s="13">
        <f t="shared" si="1"/>
        <v>99510.459459459467</v>
      </c>
      <c r="S26" s="13">
        <f t="shared" si="1"/>
        <v>123.10810810810811</v>
      </c>
    </row>
    <row r="27" spans="1:19" x14ac:dyDescent="0.4">
      <c r="A27" t="s">
        <v>21</v>
      </c>
      <c r="B27">
        <v>2035</v>
      </c>
      <c r="C27" s="13">
        <f t="shared" si="2"/>
        <v>246431.30105405403</v>
      </c>
      <c r="D27" s="13">
        <f t="shared" si="3"/>
        <v>213497.29235135135</v>
      </c>
      <c r="E27" s="13">
        <f t="shared" si="1"/>
        <v>608403.35135135136</v>
      </c>
      <c r="F27" s="13">
        <f t="shared" si="1"/>
        <v>137702.22543243243</v>
      </c>
      <c r="G27" s="13">
        <f t="shared" si="1"/>
        <v>168373.43243243243</v>
      </c>
      <c r="H27" s="13">
        <f t="shared" si="1"/>
        <v>6475.594594594595</v>
      </c>
      <c r="I27" s="13">
        <f t="shared" si="1"/>
        <v>302393.10810810811</v>
      </c>
      <c r="J27" s="13">
        <f t="shared" si="1"/>
        <v>111483.18918918919</v>
      </c>
      <c r="K27" s="13">
        <f t="shared" si="1"/>
        <v>190909.24324324325</v>
      </c>
      <c r="L27" s="13">
        <f t="shared" si="1"/>
        <v>6475.594594594595</v>
      </c>
      <c r="M27" s="13">
        <f t="shared" si="1"/>
        <v>6475.594594594595</v>
      </c>
      <c r="N27" s="13">
        <f t="shared" si="1"/>
        <v>0</v>
      </c>
      <c r="O27" s="13">
        <f t="shared" si="1"/>
        <v>4338.7027027027025</v>
      </c>
      <c r="P27" s="13">
        <f t="shared" si="1"/>
        <v>100544.86486486487</v>
      </c>
      <c r="Q27" s="13">
        <f t="shared" si="1"/>
        <v>124.02702702702703</v>
      </c>
      <c r="R27" s="13">
        <f t="shared" si="1"/>
        <v>100544.86486486487</v>
      </c>
      <c r="S27" s="13">
        <f t="shared" si="1"/>
        <v>124.02702702702703</v>
      </c>
    </row>
    <row r="28" spans="1:19" x14ac:dyDescent="0.4">
      <c r="A28" t="s">
        <v>21</v>
      </c>
      <c r="B28">
        <v>2036</v>
      </c>
      <c r="C28" s="13">
        <f t="shared" si="2"/>
        <v>247983.53039189187</v>
      </c>
      <c r="D28" s="13">
        <f t="shared" si="3"/>
        <v>213801.39429729729</v>
      </c>
      <c r="E28" s="13">
        <f t="shared" si="1"/>
        <v>615278.79729729728</v>
      </c>
      <c r="F28" s="13">
        <f t="shared" si="1"/>
        <v>139532.90963513515</v>
      </c>
      <c r="G28" s="13">
        <f t="shared" si="1"/>
        <v>170329.13513513515</v>
      </c>
      <c r="H28" s="13">
        <f t="shared" si="1"/>
        <v>6551.3108108108108</v>
      </c>
      <c r="I28" s="13">
        <f t="shared" si="1"/>
        <v>305473.78378378379</v>
      </c>
      <c r="J28" s="13">
        <f t="shared" si="1"/>
        <v>112698.12162162163</v>
      </c>
      <c r="K28" s="13">
        <f t="shared" si="1"/>
        <v>192775.01351351352</v>
      </c>
      <c r="L28" s="13">
        <f t="shared" si="1"/>
        <v>6551.3108108108108</v>
      </c>
      <c r="M28" s="13">
        <f t="shared" si="1"/>
        <v>6551.3108108108108</v>
      </c>
      <c r="N28" s="13">
        <f t="shared" si="1"/>
        <v>0</v>
      </c>
      <c r="O28" s="13">
        <f t="shared" si="1"/>
        <v>4442.594594594595</v>
      </c>
      <c r="P28" s="13">
        <f t="shared" si="1"/>
        <v>101579.27027027027</v>
      </c>
      <c r="Q28" s="13">
        <f t="shared" si="1"/>
        <v>124.94594594594595</v>
      </c>
      <c r="R28" s="13">
        <f t="shared" si="1"/>
        <v>101579.27027027027</v>
      </c>
      <c r="S28" s="13">
        <f t="shared" si="1"/>
        <v>124.94594594594595</v>
      </c>
    </row>
    <row r="29" spans="1:19" x14ac:dyDescent="0.4">
      <c r="A29" t="s">
        <v>21</v>
      </c>
      <c r="B29">
        <v>2037</v>
      </c>
      <c r="C29" s="13">
        <f t="shared" si="2"/>
        <v>249535.7597297297</v>
      </c>
      <c r="D29" s="13">
        <f>(D$52-D$15)/($B$52-$B$15)*($B29-$B$15)+D$15</f>
        <v>214105.49624324322</v>
      </c>
      <c r="E29" s="13">
        <f t="shared" si="1"/>
        <v>622154.2432432432</v>
      </c>
      <c r="F29" s="13">
        <f t="shared" si="1"/>
        <v>141363.59383783783</v>
      </c>
      <c r="G29" s="13">
        <f t="shared" si="1"/>
        <v>172284.83783783784</v>
      </c>
      <c r="H29" s="13">
        <f t="shared" si="1"/>
        <v>6627.0270270270266</v>
      </c>
      <c r="I29" s="13">
        <f t="shared" si="1"/>
        <v>308554.45945945947</v>
      </c>
      <c r="J29" s="13">
        <f t="shared" si="1"/>
        <v>113913.05405405405</v>
      </c>
      <c r="K29" s="13">
        <f t="shared" si="1"/>
        <v>194640.78378378379</v>
      </c>
      <c r="L29" s="13">
        <f t="shared" si="1"/>
        <v>6627.0270270270266</v>
      </c>
      <c r="M29" s="13">
        <f t="shared" si="1"/>
        <v>6627.0270270270266</v>
      </c>
      <c r="N29" s="13">
        <f t="shared" si="1"/>
        <v>0</v>
      </c>
      <c r="O29" s="13">
        <f t="shared" si="1"/>
        <v>4546.4864864864867</v>
      </c>
      <c r="P29" s="13">
        <f t="shared" si="1"/>
        <v>102613.67567567568</v>
      </c>
      <c r="Q29" s="13">
        <f t="shared" si="1"/>
        <v>125.86486486486487</v>
      </c>
      <c r="R29" s="13">
        <f t="shared" si="1"/>
        <v>102613.67567567568</v>
      </c>
      <c r="S29" s="13">
        <f t="shared" si="1"/>
        <v>125.86486486486487</v>
      </c>
    </row>
    <row r="30" spans="1:19" x14ac:dyDescent="0.4">
      <c r="A30" t="s">
        <v>21</v>
      </c>
      <c r="B30">
        <v>2038</v>
      </c>
      <c r="C30" s="13">
        <f t="shared" si="2"/>
        <v>251087.98906756754</v>
      </c>
      <c r="D30" s="13">
        <f t="shared" si="3"/>
        <v>214409.59818918919</v>
      </c>
      <c r="E30" s="13">
        <f t="shared" si="1"/>
        <v>629029.68918918923</v>
      </c>
      <c r="F30" s="13">
        <f t="shared" si="1"/>
        <v>143194.27804054055</v>
      </c>
      <c r="G30" s="13">
        <f t="shared" si="1"/>
        <v>174240.54054054053</v>
      </c>
      <c r="H30" s="13">
        <f t="shared" si="1"/>
        <v>6702.7432432432433</v>
      </c>
      <c r="I30" s="13">
        <f t="shared" si="1"/>
        <v>311635.13513513515</v>
      </c>
      <c r="J30" s="13">
        <f t="shared" si="1"/>
        <v>115127.98648648648</v>
      </c>
      <c r="K30" s="13">
        <f t="shared" si="1"/>
        <v>196506.55405405405</v>
      </c>
      <c r="L30" s="13">
        <f t="shared" si="1"/>
        <v>6702.7432432432433</v>
      </c>
      <c r="M30" s="13">
        <f t="shared" si="1"/>
        <v>6702.7432432432433</v>
      </c>
      <c r="N30" s="13">
        <f t="shared" si="1"/>
        <v>0</v>
      </c>
      <c r="O30" s="13">
        <f t="shared" si="1"/>
        <v>4650.3783783783783</v>
      </c>
      <c r="P30" s="13">
        <f t="shared" si="1"/>
        <v>103648.08108108108</v>
      </c>
      <c r="Q30" s="13">
        <f t="shared" si="1"/>
        <v>126.78378378378379</v>
      </c>
      <c r="R30" s="13">
        <f t="shared" si="1"/>
        <v>103648.08108108108</v>
      </c>
      <c r="S30" s="13">
        <f t="shared" si="1"/>
        <v>126.78378378378379</v>
      </c>
    </row>
    <row r="31" spans="1:19" x14ac:dyDescent="0.4">
      <c r="A31" t="s">
        <v>21</v>
      </c>
      <c r="B31">
        <v>2039</v>
      </c>
      <c r="C31" s="13">
        <f t="shared" si="2"/>
        <v>252640.21840540538</v>
      </c>
      <c r="D31" s="13">
        <f t="shared" si="3"/>
        <v>214713.70013513512</v>
      </c>
      <c r="E31" s="13">
        <f t="shared" si="1"/>
        <v>635905.13513513515</v>
      </c>
      <c r="F31" s="13">
        <f t="shared" si="1"/>
        <v>145024.96224324324</v>
      </c>
      <c r="G31" s="13">
        <f t="shared" si="1"/>
        <v>176196.24324324325</v>
      </c>
      <c r="H31" s="13">
        <f t="shared" si="1"/>
        <v>6778.4594594594591</v>
      </c>
      <c r="I31" s="13">
        <f t="shared" si="1"/>
        <v>314715.81081081083</v>
      </c>
      <c r="J31" s="13">
        <f t="shared" si="1"/>
        <v>116342.91891891892</v>
      </c>
      <c r="K31" s="13">
        <f t="shared" si="1"/>
        <v>198372.32432432432</v>
      </c>
      <c r="L31" s="13">
        <f t="shared" si="1"/>
        <v>6778.4594594594591</v>
      </c>
      <c r="M31" s="13">
        <f t="shared" si="1"/>
        <v>6778.4594594594591</v>
      </c>
      <c r="N31" s="13">
        <f t="shared" si="1"/>
        <v>0</v>
      </c>
      <c r="O31" s="13">
        <f t="shared" si="1"/>
        <v>4754.27027027027</v>
      </c>
      <c r="P31" s="13">
        <f t="shared" si="1"/>
        <v>104682.48648648648</v>
      </c>
      <c r="Q31" s="13">
        <f t="shared" si="1"/>
        <v>127.70270270270271</v>
      </c>
      <c r="R31" s="13">
        <f t="shared" si="1"/>
        <v>104682.48648648648</v>
      </c>
      <c r="S31" s="13">
        <f t="shared" si="1"/>
        <v>127.70270270270271</v>
      </c>
    </row>
    <row r="32" spans="1:19" x14ac:dyDescent="0.4">
      <c r="A32" t="s">
        <v>21</v>
      </c>
      <c r="B32">
        <v>2040</v>
      </c>
      <c r="C32" s="13">
        <f t="shared" si="2"/>
        <v>254192.44774324322</v>
      </c>
      <c r="D32" s="13">
        <f t="shared" si="3"/>
        <v>215017.80208108106</v>
      </c>
      <c r="E32" s="13">
        <f t="shared" si="1"/>
        <v>642780.58108108107</v>
      </c>
      <c r="F32" s="13">
        <f t="shared" si="1"/>
        <v>146855.64644594595</v>
      </c>
      <c r="G32" s="13">
        <f t="shared" si="1"/>
        <v>178151.94594594595</v>
      </c>
      <c r="H32" s="13">
        <f t="shared" si="1"/>
        <v>6854.1756756756758</v>
      </c>
      <c r="I32" s="13">
        <f t="shared" si="1"/>
        <v>317796.48648648651</v>
      </c>
      <c r="J32" s="13">
        <f t="shared" si="1"/>
        <v>117557.85135135136</v>
      </c>
      <c r="K32" s="13">
        <f t="shared" si="1"/>
        <v>200238.09459459459</v>
      </c>
      <c r="L32" s="13">
        <f t="shared" si="1"/>
        <v>6854.1756756756758</v>
      </c>
      <c r="M32" s="13">
        <f t="shared" si="1"/>
        <v>6854.1756756756758</v>
      </c>
      <c r="N32" s="13">
        <f t="shared" si="1"/>
        <v>0</v>
      </c>
      <c r="O32" s="13">
        <f t="shared" si="1"/>
        <v>4858.1621621621616</v>
      </c>
      <c r="P32" s="13">
        <f t="shared" si="1"/>
        <v>105716.89189189189</v>
      </c>
      <c r="Q32" s="13">
        <f t="shared" si="1"/>
        <v>128.62162162162161</v>
      </c>
      <c r="R32" s="13">
        <f t="shared" si="1"/>
        <v>105716.89189189189</v>
      </c>
      <c r="S32" s="13">
        <f t="shared" si="1"/>
        <v>128.62162162162161</v>
      </c>
    </row>
    <row r="33" spans="1:19" x14ac:dyDescent="0.4">
      <c r="A33" t="s">
        <v>21</v>
      </c>
      <c r="B33">
        <v>2041</v>
      </c>
      <c r="C33" s="13">
        <f t="shared" si="2"/>
        <v>255744.67708108106</v>
      </c>
      <c r="D33" s="13">
        <f t="shared" si="3"/>
        <v>215321.90402702702</v>
      </c>
      <c r="E33" s="13">
        <f t="shared" si="1"/>
        <v>649656.02702702698</v>
      </c>
      <c r="F33" s="13">
        <f t="shared" si="1"/>
        <v>148686.33064864867</v>
      </c>
      <c r="G33" s="13">
        <f t="shared" si="1"/>
        <v>180107.64864864864</v>
      </c>
      <c r="H33" s="13">
        <f t="shared" si="1"/>
        <v>6929.8918918918916</v>
      </c>
      <c r="I33" s="13">
        <f t="shared" si="1"/>
        <v>320877.16216216219</v>
      </c>
      <c r="J33" s="13">
        <f t="shared" si="1"/>
        <v>118772.78378378379</v>
      </c>
      <c r="K33" s="13">
        <f t="shared" si="1"/>
        <v>202103.86486486485</v>
      </c>
      <c r="L33" s="13">
        <f t="shared" si="1"/>
        <v>6929.8918918918916</v>
      </c>
      <c r="M33" s="13">
        <f t="shared" si="1"/>
        <v>6929.8918918918916</v>
      </c>
      <c r="N33" s="13">
        <f t="shared" si="1"/>
        <v>0</v>
      </c>
      <c r="O33" s="13">
        <f t="shared" si="1"/>
        <v>4962.0540540540542</v>
      </c>
      <c r="P33" s="13">
        <f t="shared" si="1"/>
        <v>106751.29729729729</v>
      </c>
      <c r="Q33" s="13">
        <f t="shared" si="1"/>
        <v>129.54054054054055</v>
      </c>
      <c r="R33" s="13">
        <f t="shared" si="1"/>
        <v>106751.29729729729</v>
      </c>
      <c r="S33" s="13">
        <f t="shared" si="1"/>
        <v>129.54054054054055</v>
      </c>
    </row>
    <row r="34" spans="1:19" x14ac:dyDescent="0.4">
      <c r="A34" t="s">
        <v>21</v>
      </c>
      <c r="B34">
        <v>2042</v>
      </c>
      <c r="C34" s="13">
        <f t="shared" si="2"/>
        <v>257296.90641891889</v>
      </c>
      <c r="D34" s="13">
        <f t="shared" si="3"/>
        <v>215626.00597297295</v>
      </c>
      <c r="E34" s="13">
        <f t="shared" si="1"/>
        <v>656531.47297297302</v>
      </c>
      <c r="F34" s="13">
        <f t="shared" si="1"/>
        <v>150517.01485135136</v>
      </c>
      <c r="G34" s="13">
        <f t="shared" si="1"/>
        <v>182063.35135135136</v>
      </c>
      <c r="H34" s="13">
        <f t="shared" si="1"/>
        <v>7005.6081081081084</v>
      </c>
      <c r="I34" s="13">
        <f t="shared" si="1"/>
        <v>323957.83783783787</v>
      </c>
      <c r="J34" s="13">
        <f t="shared" ref="E34:S51" si="4">(J$52-J$15)/($B$52-$B$15)*($B34-$B$15)+J$15</f>
        <v>119987.71621621621</v>
      </c>
      <c r="K34" s="13">
        <f t="shared" si="4"/>
        <v>203969.63513513515</v>
      </c>
      <c r="L34" s="13">
        <f t="shared" si="4"/>
        <v>7005.6081081081084</v>
      </c>
      <c r="M34" s="13">
        <f t="shared" si="4"/>
        <v>7005.6081081081084</v>
      </c>
      <c r="N34" s="13">
        <f t="shared" si="4"/>
        <v>0</v>
      </c>
      <c r="O34" s="13">
        <f t="shared" si="4"/>
        <v>5065.9459459459458</v>
      </c>
      <c r="P34" s="13">
        <f t="shared" si="4"/>
        <v>107785.70270270271</v>
      </c>
      <c r="Q34" s="13">
        <f t="shared" si="4"/>
        <v>130.45945945945945</v>
      </c>
      <c r="R34" s="13">
        <f t="shared" si="4"/>
        <v>107785.70270270271</v>
      </c>
      <c r="S34" s="13">
        <f t="shared" si="4"/>
        <v>130.45945945945945</v>
      </c>
    </row>
    <row r="35" spans="1:19" x14ac:dyDescent="0.4">
      <c r="A35" t="s">
        <v>21</v>
      </c>
      <c r="B35">
        <v>2043</v>
      </c>
      <c r="C35" s="13">
        <f t="shared" si="2"/>
        <v>258849.13575675673</v>
      </c>
      <c r="D35" s="13">
        <f t="shared" si="3"/>
        <v>215930.10791891892</v>
      </c>
      <c r="E35" s="13">
        <f t="shared" si="4"/>
        <v>663406.91891891893</v>
      </c>
      <c r="F35" s="13">
        <f t="shared" si="4"/>
        <v>152347.69905405404</v>
      </c>
      <c r="G35" s="13">
        <f t="shared" si="4"/>
        <v>184019.05405405405</v>
      </c>
      <c r="H35" s="13">
        <f t="shared" si="4"/>
        <v>7081.3243243243242</v>
      </c>
      <c r="I35" s="13">
        <f t="shared" si="4"/>
        <v>327038.51351351349</v>
      </c>
      <c r="J35" s="13">
        <f t="shared" si="4"/>
        <v>121202.64864864865</v>
      </c>
      <c r="K35" s="13">
        <f t="shared" si="4"/>
        <v>205835.40540540541</v>
      </c>
      <c r="L35" s="13">
        <f t="shared" si="4"/>
        <v>7081.3243243243242</v>
      </c>
      <c r="M35" s="13">
        <f t="shared" si="4"/>
        <v>7081.3243243243242</v>
      </c>
      <c r="N35" s="13">
        <f t="shared" si="4"/>
        <v>0</v>
      </c>
      <c r="O35" s="13">
        <f t="shared" si="4"/>
        <v>5169.8378378378384</v>
      </c>
      <c r="P35" s="13">
        <f t="shared" si="4"/>
        <v>108820.10810810811</v>
      </c>
      <c r="Q35" s="13">
        <f t="shared" si="4"/>
        <v>131.37837837837839</v>
      </c>
      <c r="R35" s="13">
        <f t="shared" si="4"/>
        <v>108820.10810810811</v>
      </c>
      <c r="S35" s="13">
        <f t="shared" si="4"/>
        <v>131.37837837837839</v>
      </c>
    </row>
    <row r="36" spans="1:19" x14ac:dyDescent="0.4">
      <c r="A36" t="s">
        <v>21</v>
      </c>
      <c r="B36">
        <v>2044</v>
      </c>
      <c r="C36" s="13">
        <f t="shared" si="2"/>
        <v>260401.36509459457</v>
      </c>
      <c r="D36" s="13">
        <f t="shared" si="3"/>
        <v>216234.20986486485</v>
      </c>
      <c r="E36" s="13">
        <f t="shared" si="4"/>
        <v>670282.36486486485</v>
      </c>
      <c r="F36" s="13">
        <f t="shared" si="4"/>
        <v>154178.38325675676</v>
      </c>
      <c r="G36" s="13">
        <f t="shared" si="4"/>
        <v>185974.75675675675</v>
      </c>
      <c r="H36" s="13">
        <f t="shared" si="4"/>
        <v>7157.04054054054</v>
      </c>
      <c r="I36" s="13">
        <f t="shared" si="4"/>
        <v>330119.18918918917</v>
      </c>
      <c r="J36" s="13">
        <f t="shared" si="4"/>
        <v>122417.58108108108</v>
      </c>
      <c r="K36" s="13">
        <f t="shared" si="4"/>
        <v>207701.17567567568</v>
      </c>
      <c r="L36" s="13">
        <f t="shared" si="4"/>
        <v>7157.04054054054</v>
      </c>
      <c r="M36" s="13">
        <f t="shared" si="4"/>
        <v>7157.04054054054</v>
      </c>
      <c r="N36" s="13">
        <f t="shared" si="4"/>
        <v>0</v>
      </c>
      <c r="O36" s="13">
        <f t="shared" si="4"/>
        <v>5273.72972972973</v>
      </c>
      <c r="P36" s="13">
        <f t="shared" si="4"/>
        <v>109854.51351351352</v>
      </c>
      <c r="Q36" s="13">
        <f t="shared" si="4"/>
        <v>132.29729729729729</v>
      </c>
      <c r="R36" s="13">
        <f t="shared" si="4"/>
        <v>109854.51351351352</v>
      </c>
      <c r="S36" s="13">
        <f t="shared" si="4"/>
        <v>132.29729729729729</v>
      </c>
    </row>
    <row r="37" spans="1:19" x14ac:dyDescent="0.4">
      <c r="A37" t="s">
        <v>21</v>
      </c>
      <c r="B37">
        <v>2045</v>
      </c>
      <c r="C37" s="13">
        <f t="shared" si="2"/>
        <v>261953.59443243241</v>
      </c>
      <c r="D37" s="13">
        <f t="shared" si="3"/>
        <v>216538.31181081079</v>
      </c>
      <c r="E37" s="13">
        <f t="shared" si="4"/>
        <v>677157.81081081077</v>
      </c>
      <c r="F37" s="13">
        <f t="shared" si="4"/>
        <v>156009.06745945947</v>
      </c>
      <c r="G37" s="13">
        <f t="shared" si="4"/>
        <v>187930.45945945947</v>
      </c>
      <c r="H37" s="13">
        <f t="shared" si="4"/>
        <v>7232.7567567567567</v>
      </c>
      <c r="I37" s="13">
        <f t="shared" si="4"/>
        <v>333199.86486486485</v>
      </c>
      <c r="J37" s="13">
        <f t="shared" si="4"/>
        <v>123632.51351351352</v>
      </c>
      <c r="K37" s="13">
        <f t="shared" si="4"/>
        <v>209566.94594594595</v>
      </c>
      <c r="L37" s="13">
        <f t="shared" si="4"/>
        <v>7232.7567567567567</v>
      </c>
      <c r="M37" s="13">
        <f t="shared" si="4"/>
        <v>7232.7567567567567</v>
      </c>
      <c r="N37" s="13">
        <f t="shared" si="4"/>
        <v>0</v>
      </c>
      <c r="O37" s="13">
        <f t="shared" si="4"/>
        <v>5377.6216216216217</v>
      </c>
      <c r="P37" s="13">
        <f t="shared" si="4"/>
        <v>110888.91891891892</v>
      </c>
      <c r="Q37" s="13">
        <f t="shared" si="4"/>
        <v>133.21621621621622</v>
      </c>
      <c r="R37" s="13">
        <f t="shared" si="4"/>
        <v>110888.91891891892</v>
      </c>
      <c r="S37" s="13">
        <f t="shared" si="4"/>
        <v>133.21621621621622</v>
      </c>
    </row>
    <row r="38" spans="1:19" x14ac:dyDescent="0.4">
      <c r="A38" t="s">
        <v>21</v>
      </c>
      <c r="B38">
        <v>2046</v>
      </c>
      <c r="C38" s="13">
        <f t="shared" si="2"/>
        <v>263505.82377027022</v>
      </c>
      <c r="D38" s="13">
        <f t="shared" si="3"/>
        <v>216842.41375675675</v>
      </c>
      <c r="E38" s="13">
        <f t="shared" si="4"/>
        <v>684033.25675675669</v>
      </c>
      <c r="F38" s="13">
        <f t="shared" si="4"/>
        <v>157839.75166216216</v>
      </c>
      <c r="G38" s="13">
        <f t="shared" si="4"/>
        <v>189886.16216216216</v>
      </c>
      <c r="H38" s="13">
        <f t="shared" si="4"/>
        <v>7308.4729729729734</v>
      </c>
      <c r="I38" s="13">
        <f t="shared" si="4"/>
        <v>336280.54054054053</v>
      </c>
      <c r="J38" s="13">
        <f t="shared" si="4"/>
        <v>124847.44594594595</v>
      </c>
      <c r="K38" s="13">
        <f t="shared" si="4"/>
        <v>211432.71621621621</v>
      </c>
      <c r="L38" s="13">
        <f t="shared" si="4"/>
        <v>7308.4729729729734</v>
      </c>
      <c r="M38" s="13">
        <f t="shared" si="4"/>
        <v>7308.4729729729734</v>
      </c>
      <c r="N38" s="13">
        <f t="shared" si="4"/>
        <v>0</v>
      </c>
      <c r="O38" s="13">
        <f t="shared" si="4"/>
        <v>5481.5135135135133</v>
      </c>
      <c r="P38" s="13">
        <f t="shared" si="4"/>
        <v>111923.32432432432</v>
      </c>
      <c r="Q38" s="13">
        <f t="shared" si="4"/>
        <v>134.13513513513513</v>
      </c>
      <c r="R38" s="13">
        <f t="shared" si="4"/>
        <v>111923.32432432432</v>
      </c>
      <c r="S38" s="13">
        <f t="shared" si="4"/>
        <v>134.13513513513513</v>
      </c>
    </row>
    <row r="39" spans="1:19" x14ac:dyDescent="0.4">
      <c r="A39" t="s">
        <v>21</v>
      </c>
      <c r="B39">
        <v>2047</v>
      </c>
      <c r="C39" s="13">
        <f t="shared" si="2"/>
        <v>265058.05310810806</v>
      </c>
      <c r="D39" s="13">
        <f t="shared" si="3"/>
        <v>217146.51570270269</v>
      </c>
      <c r="E39" s="13">
        <f t="shared" si="4"/>
        <v>690908.70270270272</v>
      </c>
      <c r="F39" s="13">
        <f t="shared" si="4"/>
        <v>159670.43586486488</v>
      </c>
      <c r="G39" s="13">
        <f t="shared" si="4"/>
        <v>191841.86486486485</v>
      </c>
      <c r="H39" s="13">
        <f t="shared" si="4"/>
        <v>7384.1891891891892</v>
      </c>
      <c r="I39" s="13">
        <f t="shared" si="4"/>
        <v>339361.21621621621</v>
      </c>
      <c r="J39" s="13">
        <f t="shared" si="4"/>
        <v>126062.37837837837</v>
      </c>
      <c r="K39" s="13">
        <f t="shared" si="4"/>
        <v>213298.48648648648</v>
      </c>
      <c r="L39" s="13">
        <f t="shared" si="4"/>
        <v>7384.1891891891892</v>
      </c>
      <c r="M39" s="13">
        <f t="shared" si="4"/>
        <v>7384.1891891891892</v>
      </c>
      <c r="N39" s="13">
        <f t="shared" si="4"/>
        <v>0</v>
      </c>
      <c r="O39" s="13">
        <f t="shared" si="4"/>
        <v>5585.405405405405</v>
      </c>
      <c r="P39" s="13">
        <f t="shared" si="4"/>
        <v>112957.72972972973</v>
      </c>
      <c r="Q39" s="13">
        <f t="shared" si="4"/>
        <v>135.05405405405406</v>
      </c>
      <c r="R39" s="13">
        <f t="shared" si="4"/>
        <v>112957.72972972973</v>
      </c>
      <c r="S39" s="13">
        <f t="shared" si="4"/>
        <v>135.05405405405406</v>
      </c>
    </row>
    <row r="40" spans="1:19" x14ac:dyDescent="0.4">
      <c r="A40" t="s">
        <v>21</v>
      </c>
      <c r="B40">
        <v>2048</v>
      </c>
      <c r="C40" s="13">
        <f t="shared" si="2"/>
        <v>266610.28244594589</v>
      </c>
      <c r="D40" s="13">
        <f t="shared" si="3"/>
        <v>217450.61764864862</v>
      </c>
      <c r="E40" s="13">
        <f t="shared" si="4"/>
        <v>697784.14864864864</v>
      </c>
      <c r="F40" s="13">
        <f t="shared" si="4"/>
        <v>161501.12006756756</v>
      </c>
      <c r="G40" s="13">
        <f t="shared" si="4"/>
        <v>193797.56756756757</v>
      </c>
      <c r="H40" s="13">
        <f t="shared" si="4"/>
        <v>7459.905405405405</v>
      </c>
      <c r="I40" s="13">
        <f t="shared" si="4"/>
        <v>342441.89189189189</v>
      </c>
      <c r="J40" s="13">
        <f t="shared" si="4"/>
        <v>127277.31081081081</v>
      </c>
      <c r="K40" s="13">
        <f t="shared" si="4"/>
        <v>215164.25675675675</v>
      </c>
      <c r="L40" s="13">
        <f t="shared" si="4"/>
        <v>7459.905405405405</v>
      </c>
      <c r="M40" s="13">
        <f t="shared" si="4"/>
        <v>7459.905405405405</v>
      </c>
      <c r="N40" s="13">
        <f t="shared" si="4"/>
        <v>0</v>
      </c>
      <c r="O40" s="13">
        <f t="shared" si="4"/>
        <v>5689.2972972972966</v>
      </c>
      <c r="P40" s="13">
        <f t="shared" si="4"/>
        <v>113992.13513513513</v>
      </c>
      <c r="Q40" s="13">
        <f t="shared" si="4"/>
        <v>135.97297297297297</v>
      </c>
      <c r="R40" s="13">
        <f t="shared" si="4"/>
        <v>113992.13513513513</v>
      </c>
      <c r="S40" s="13">
        <f t="shared" si="4"/>
        <v>135.97297297297297</v>
      </c>
    </row>
    <row r="41" spans="1:19" x14ac:dyDescent="0.4">
      <c r="A41" t="s">
        <v>21</v>
      </c>
      <c r="B41">
        <v>2049</v>
      </c>
      <c r="C41" s="13">
        <f t="shared" si="2"/>
        <v>268162.51178378373</v>
      </c>
      <c r="D41" s="13">
        <f t="shared" si="3"/>
        <v>217754.71959459459</v>
      </c>
      <c r="E41" s="13">
        <f t="shared" si="4"/>
        <v>704659.59459459456</v>
      </c>
      <c r="F41" s="13">
        <f t="shared" si="4"/>
        <v>163331.80427027028</v>
      </c>
      <c r="G41" s="13">
        <f t="shared" si="4"/>
        <v>195753.27027027027</v>
      </c>
      <c r="H41" s="13">
        <f t="shared" si="4"/>
        <v>7535.6216216216217</v>
      </c>
      <c r="I41" s="13">
        <f t="shared" si="4"/>
        <v>345522.56756756757</v>
      </c>
      <c r="J41" s="13">
        <f t="shared" si="4"/>
        <v>128492.24324324325</v>
      </c>
      <c r="K41" s="13">
        <f t="shared" si="4"/>
        <v>217030.02702702704</v>
      </c>
      <c r="L41" s="13">
        <f t="shared" si="4"/>
        <v>7535.6216216216217</v>
      </c>
      <c r="M41" s="13">
        <f t="shared" si="4"/>
        <v>7535.6216216216217</v>
      </c>
      <c r="N41" s="13">
        <f t="shared" si="4"/>
        <v>0</v>
      </c>
      <c r="O41" s="13">
        <f t="shared" si="4"/>
        <v>5793.1891891891892</v>
      </c>
      <c r="P41" s="13">
        <f t="shared" si="4"/>
        <v>115026.54054054053</v>
      </c>
      <c r="Q41" s="13">
        <f t="shared" si="4"/>
        <v>136.8918918918919</v>
      </c>
      <c r="R41" s="13">
        <f t="shared" si="4"/>
        <v>115026.54054054053</v>
      </c>
      <c r="S41" s="13">
        <f t="shared" si="4"/>
        <v>136.8918918918919</v>
      </c>
    </row>
    <row r="42" spans="1:19" x14ac:dyDescent="0.4">
      <c r="A42" t="s">
        <v>21</v>
      </c>
      <c r="B42">
        <v>2050</v>
      </c>
      <c r="C42" s="13">
        <f t="shared" si="2"/>
        <v>269714.74112162157</v>
      </c>
      <c r="D42" s="13">
        <f t="shared" si="3"/>
        <v>218058.82154054052</v>
      </c>
      <c r="E42" s="13">
        <f t="shared" si="4"/>
        <v>711535.04054054059</v>
      </c>
      <c r="F42" s="13">
        <f t="shared" si="4"/>
        <v>165162.488472973</v>
      </c>
      <c r="G42" s="13">
        <f t="shared" si="4"/>
        <v>197708.97297297296</v>
      </c>
      <c r="H42" s="13">
        <f t="shared" si="4"/>
        <v>7611.3378378378375</v>
      </c>
      <c r="I42" s="13">
        <f t="shared" si="4"/>
        <v>348603.24324324325</v>
      </c>
      <c r="J42" s="13">
        <f t="shared" si="4"/>
        <v>129707.17567567568</v>
      </c>
      <c r="K42" s="13">
        <f t="shared" si="4"/>
        <v>218895.79729729728</v>
      </c>
      <c r="L42" s="13">
        <f t="shared" si="4"/>
        <v>7611.3378378378375</v>
      </c>
      <c r="M42" s="13">
        <f t="shared" si="4"/>
        <v>7611.3378378378375</v>
      </c>
      <c r="N42" s="13">
        <f t="shared" si="4"/>
        <v>0</v>
      </c>
      <c r="O42" s="13">
        <f t="shared" si="4"/>
        <v>5897.0810810810808</v>
      </c>
      <c r="P42" s="13">
        <f t="shared" si="4"/>
        <v>116060.94594594595</v>
      </c>
      <c r="Q42" s="13">
        <f t="shared" si="4"/>
        <v>137.81081081081081</v>
      </c>
      <c r="R42" s="13">
        <f t="shared" si="4"/>
        <v>116060.94594594595</v>
      </c>
      <c r="S42" s="13">
        <f t="shared" si="4"/>
        <v>137.81081081081081</v>
      </c>
    </row>
    <row r="43" spans="1:19" x14ac:dyDescent="0.4">
      <c r="A43" t="s">
        <v>21</v>
      </c>
      <c r="B43">
        <v>2051</v>
      </c>
      <c r="C43" s="13">
        <f t="shared" si="2"/>
        <v>271266.97045945941</v>
      </c>
      <c r="D43" s="13">
        <f t="shared" si="3"/>
        <v>218362.92348648648</v>
      </c>
      <c r="E43" s="13">
        <f t="shared" si="4"/>
        <v>718410.48648648651</v>
      </c>
      <c r="F43" s="13">
        <f t="shared" si="4"/>
        <v>166993.17267567568</v>
      </c>
      <c r="G43" s="13">
        <f t="shared" si="4"/>
        <v>199664.67567567568</v>
      </c>
      <c r="H43" s="13">
        <f t="shared" si="4"/>
        <v>7687.0540540540533</v>
      </c>
      <c r="I43" s="13">
        <f t="shared" si="4"/>
        <v>351683.91891891893</v>
      </c>
      <c r="J43" s="13">
        <f t="shared" si="4"/>
        <v>130922.10810810811</v>
      </c>
      <c r="K43" s="13">
        <f t="shared" si="4"/>
        <v>220761.56756756757</v>
      </c>
      <c r="L43" s="13">
        <f t="shared" si="4"/>
        <v>7687.0540540540533</v>
      </c>
      <c r="M43" s="13">
        <f t="shared" si="4"/>
        <v>7687.0540540540533</v>
      </c>
      <c r="N43" s="13">
        <f t="shared" si="4"/>
        <v>0</v>
      </c>
      <c r="O43" s="13">
        <f t="shared" si="4"/>
        <v>6000.9729729729734</v>
      </c>
      <c r="P43" s="13">
        <f t="shared" si="4"/>
        <v>117095.35135135136</v>
      </c>
      <c r="Q43" s="13">
        <f t="shared" si="4"/>
        <v>138.72972972972974</v>
      </c>
      <c r="R43" s="13">
        <f t="shared" si="4"/>
        <v>117095.35135135136</v>
      </c>
      <c r="S43" s="13">
        <f t="shared" si="4"/>
        <v>138.72972972972974</v>
      </c>
    </row>
    <row r="44" spans="1:19" x14ac:dyDescent="0.4">
      <c r="A44" t="s">
        <v>21</v>
      </c>
      <c r="B44">
        <v>2052</v>
      </c>
      <c r="C44" s="13">
        <f t="shared" si="2"/>
        <v>272819.19979729725</v>
      </c>
      <c r="D44" s="13">
        <f t="shared" si="3"/>
        <v>218667.02543243242</v>
      </c>
      <c r="E44" s="13">
        <f t="shared" si="4"/>
        <v>725285.93243243243</v>
      </c>
      <c r="F44" s="13">
        <f t="shared" si="4"/>
        <v>168823.85687837837</v>
      </c>
      <c r="G44" s="13">
        <f t="shared" si="4"/>
        <v>201620.37837837837</v>
      </c>
      <c r="H44" s="13">
        <f t="shared" si="4"/>
        <v>7762.77027027027</v>
      </c>
      <c r="I44" s="13">
        <f t="shared" si="4"/>
        <v>354764.59459459462</v>
      </c>
      <c r="J44" s="13">
        <f t="shared" si="4"/>
        <v>132137.04054054053</v>
      </c>
      <c r="K44" s="13">
        <f t="shared" si="4"/>
        <v>222627.33783783784</v>
      </c>
      <c r="L44" s="13">
        <f t="shared" si="4"/>
        <v>7762.77027027027</v>
      </c>
      <c r="M44" s="13">
        <f t="shared" si="4"/>
        <v>7762.77027027027</v>
      </c>
      <c r="N44" s="13">
        <f t="shared" si="4"/>
        <v>0</v>
      </c>
      <c r="O44" s="13">
        <f t="shared" si="4"/>
        <v>6104.864864864865</v>
      </c>
      <c r="P44" s="13">
        <f t="shared" si="4"/>
        <v>118129.75675675676</v>
      </c>
      <c r="Q44" s="13">
        <f t="shared" si="4"/>
        <v>139.64864864864865</v>
      </c>
      <c r="R44" s="13">
        <f t="shared" si="4"/>
        <v>118129.75675675676</v>
      </c>
      <c r="S44" s="13">
        <f t="shared" si="4"/>
        <v>139.64864864864865</v>
      </c>
    </row>
    <row r="45" spans="1:19" x14ac:dyDescent="0.4">
      <c r="A45" t="s">
        <v>21</v>
      </c>
      <c r="B45">
        <v>2053</v>
      </c>
      <c r="C45" s="13">
        <f t="shared" si="2"/>
        <v>274371.42913513508</v>
      </c>
      <c r="D45" s="13">
        <f t="shared" si="3"/>
        <v>218971.12737837835</v>
      </c>
      <c r="E45" s="13">
        <f t="shared" si="4"/>
        <v>732161.37837837834</v>
      </c>
      <c r="F45" s="13">
        <f t="shared" si="4"/>
        <v>170654.54108108109</v>
      </c>
      <c r="G45" s="13">
        <f t="shared" si="4"/>
        <v>203576.08108108107</v>
      </c>
      <c r="H45" s="13">
        <f t="shared" si="4"/>
        <v>7838.4864864864867</v>
      </c>
      <c r="I45" s="13">
        <f t="shared" si="4"/>
        <v>357845.2702702703</v>
      </c>
      <c r="J45" s="13">
        <f t="shared" si="4"/>
        <v>133351.97297297296</v>
      </c>
      <c r="K45" s="13">
        <f t="shared" si="4"/>
        <v>224493.10810810811</v>
      </c>
      <c r="L45" s="13">
        <f t="shared" si="4"/>
        <v>7838.4864864864867</v>
      </c>
      <c r="M45" s="13">
        <f t="shared" si="4"/>
        <v>7838.4864864864867</v>
      </c>
      <c r="N45" s="13">
        <f t="shared" si="4"/>
        <v>0</v>
      </c>
      <c r="O45" s="13">
        <f t="shared" si="4"/>
        <v>6208.7567567567567</v>
      </c>
      <c r="P45" s="13">
        <f t="shared" si="4"/>
        <v>119164.16216216216</v>
      </c>
      <c r="Q45" s="13">
        <f t="shared" si="4"/>
        <v>140.56756756756758</v>
      </c>
      <c r="R45" s="13">
        <f t="shared" si="4"/>
        <v>119164.16216216216</v>
      </c>
      <c r="S45" s="13">
        <f t="shared" si="4"/>
        <v>140.56756756756758</v>
      </c>
    </row>
    <row r="46" spans="1:19" x14ac:dyDescent="0.4">
      <c r="A46" t="s">
        <v>21</v>
      </c>
      <c r="B46">
        <v>2054</v>
      </c>
      <c r="C46" s="13">
        <f t="shared" si="2"/>
        <v>275923.65847297292</v>
      </c>
      <c r="D46" s="13">
        <f t="shared" si="3"/>
        <v>219275.22932432432</v>
      </c>
      <c r="E46" s="13">
        <f t="shared" si="4"/>
        <v>739036.82432432426</v>
      </c>
      <c r="F46" s="13">
        <f t="shared" si="4"/>
        <v>172485.2252837838</v>
      </c>
      <c r="G46" s="13">
        <f t="shared" si="4"/>
        <v>205531.78378378379</v>
      </c>
      <c r="H46" s="13">
        <f t="shared" si="4"/>
        <v>7914.2027027027025</v>
      </c>
      <c r="I46" s="13">
        <f t="shared" si="4"/>
        <v>360925.94594594592</v>
      </c>
      <c r="J46" s="13">
        <f t="shared" si="4"/>
        <v>134566.90540540541</v>
      </c>
      <c r="K46" s="13">
        <f t="shared" si="4"/>
        <v>226358.87837837837</v>
      </c>
      <c r="L46" s="13">
        <f t="shared" si="4"/>
        <v>7914.2027027027025</v>
      </c>
      <c r="M46" s="13">
        <f t="shared" si="4"/>
        <v>7914.2027027027025</v>
      </c>
      <c r="N46" s="13">
        <f t="shared" si="4"/>
        <v>0</v>
      </c>
      <c r="O46" s="13">
        <f t="shared" si="4"/>
        <v>6312.6486486486483</v>
      </c>
      <c r="P46" s="13">
        <f t="shared" si="4"/>
        <v>120198.56756756757</v>
      </c>
      <c r="Q46" s="13">
        <f t="shared" si="4"/>
        <v>141.48648648648648</v>
      </c>
      <c r="R46" s="13">
        <f t="shared" si="4"/>
        <v>120198.56756756757</v>
      </c>
      <c r="S46" s="13">
        <f t="shared" si="4"/>
        <v>141.48648648648648</v>
      </c>
    </row>
    <row r="47" spans="1:19" x14ac:dyDescent="0.4">
      <c r="A47" t="s">
        <v>21</v>
      </c>
      <c r="B47">
        <v>2055</v>
      </c>
      <c r="C47" s="13">
        <f t="shared" si="2"/>
        <v>277475.88781081076</v>
      </c>
      <c r="D47" s="13">
        <f t="shared" si="3"/>
        <v>219579.33127027025</v>
      </c>
      <c r="E47" s="13">
        <f t="shared" si="4"/>
        <v>745912.2702702703</v>
      </c>
      <c r="F47" s="13">
        <f t="shared" si="4"/>
        <v>174315.90948648649</v>
      </c>
      <c r="G47" s="13">
        <f t="shared" si="4"/>
        <v>207487.48648648648</v>
      </c>
      <c r="H47" s="13">
        <f t="shared" si="4"/>
        <v>7989.9189189189183</v>
      </c>
      <c r="I47" s="13">
        <f t="shared" si="4"/>
        <v>364006.62162162166</v>
      </c>
      <c r="J47" s="13">
        <f t="shared" si="4"/>
        <v>135781.83783783784</v>
      </c>
      <c r="K47" s="13">
        <f t="shared" si="4"/>
        <v>228224.64864864864</v>
      </c>
      <c r="L47" s="13">
        <f t="shared" si="4"/>
        <v>7989.9189189189183</v>
      </c>
      <c r="M47" s="13">
        <f t="shared" si="4"/>
        <v>7989.9189189189183</v>
      </c>
      <c r="N47" s="13">
        <f t="shared" si="4"/>
        <v>0</v>
      </c>
      <c r="O47" s="13">
        <f t="shared" si="4"/>
        <v>6416.54054054054</v>
      </c>
      <c r="P47" s="13">
        <f t="shared" si="4"/>
        <v>121232.97297297297</v>
      </c>
      <c r="Q47" s="13">
        <f t="shared" si="4"/>
        <v>142.40540540540542</v>
      </c>
      <c r="R47" s="13">
        <f t="shared" si="4"/>
        <v>121232.97297297297</v>
      </c>
      <c r="S47" s="13">
        <f t="shared" si="4"/>
        <v>142.40540540540542</v>
      </c>
    </row>
    <row r="48" spans="1:19" x14ac:dyDescent="0.4">
      <c r="A48" t="s">
        <v>21</v>
      </c>
      <c r="B48">
        <v>2056</v>
      </c>
      <c r="C48" s="13">
        <f t="shared" si="2"/>
        <v>279028.1171486486</v>
      </c>
      <c r="D48" s="13">
        <f t="shared" si="3"/>
        <v>219883.43321621622</v>
      </c>
      <c r="E48" s="13">
        <f t="shared" si="4"/>
        <v>752787.71621621621</v>
      </c>
      <c r="F48" s="13">
        <f t="shared" si="4"/>
        <v>176146.59368918921</v>
      </c>
      <c r="G48" s="13">
        <f t="shared" si="4"/>
        <v>209443.18918918917</v>
      </c>
      <c r="H48" s="13">
        <f t="shared" si="4"/>
        <v>8065.635135135135</v>
      </c>
      <c r="I48" s="13">
        <f t="shared" si="4"/>
        <v>367087.29729729728</v>
      </c>
      <c r="J48" s="13">
        <f t="shared" si="4"/>
        <v>136996.77027027027</v>
      </c>
      <c r="K48" s="13">
        <f t="shared" si="4"/>
        <v>230090.41891891893</v>
      </c>
      <c r="L48" s="13">
        <f t="shared" si="4"/>
        <v>8065.635135135135</v>
      </c>
      <c r="M48" s="13">
        <f t="shared" si="4"/>
        <v>8065.635135135135</v>
      </c>
      <c r="N48" s="13">
        <f t="shared" si="4"/>
        <v>0</v>
      </c>
      <c r="O48" s="13">
        <f t="shared" si="4"/>
        <v>6520.4324324324325</v>
      </c>
      <c r="P48" s="13">
        <f t="shared" si="4"/>
        <v>122267.37837837837</v>
      </c>
      <c r="Q48" s="13">
        <f t="shared" si="4"/>
        <v>143.32432432432432</v>
      </c>
      <c r="R48" s="13">
        <f t="shared" si="4"/>
        <v>122267.37837837837</v>
      </c>
      <c r="S48" s="13">
        <f t="shared" si="4"/>
        <v>143.32432432432432</v>
      </c>
    </row>
    <row r="49" spans="1:19" x14ac:dyDescent="0.4">
      <c r="A49" t="s">
        <v>21</v>
      </c>
      <c r="B49">
        <v>2057</v>
      </c>
      <c r="C49" s="13">
        <f t="shared" si="2"/>
        <v>280580.34648648644</v>
      </c>
      <c r="D49" s="13">
        <f t="shared" si="3"/>
        <v>220187.53516216215</v>
      </c>
      <c r="E49" s="13">
        <f t="shared" si="4"/>
        <v>759663.16216216213</v>
      </c>
      <c r="F49" s="13">
        <f t="shared" si="4"/>
        <v>177977.27789189189</v>
      </c>
      <c r="G49" s="13">
        <f t="shared" si="4"/>
        <v>211398.89189189189</v>
      </c>
      <c r="H49" s="13">
        <f t="shared" si="4"/>
        <v>8141.3513513513517</v>
      </c>
      <c r="I49" s="13">
        <f t="shared" si="4"/>
        <v>370167.97297297296</v>
      </c>
      <c r="J49" s="13">
        <f t="shared" si="4"/>
        <v>138211.70270270272</v>
      </c>
      <c r="K49" s="13">
        <f t="shared" si="4"/>
        <v>231956.18918918917</v>
      </c>
      <c r="L49" s="13">
        <f t="shared" si="4"/>
        <v>8141.3513513513517</v>
      </c>
      <c r="M49" s="13">
        <f t="shared" si="4"/>
        <v>8141.3513513513517</v>
      </c>
      <c r="N49" s="13">
        <f t="shared" si="4"/>
        <v>0</v>
      </c>
      <c r="O49" s="13">
        <f t="shared" si="4"/>
        <v>6624.3243243243242</v>
      </c>
      <c r="P49" s="13">
        <f t="shared" si="4"/>
        <v>123301.78378378379</v>
      </c>
      <c r="Q49" s="13">
        <f t="shared" si="4"/>
        <v>144.24324324324326</v>
      </c>
      <c r="R49" s="13">
        <f t="shared" si="4"/>
        <v>123301.78378378379</v>
      </c>
      <c r="S49" s="13">
        <f t="shared" si="4"/>
        <v>144.24324324324326</v>
      </c>
    </row>
    <row r="50" spans="1:19" x14ac:dyDescent="0.4">
      <c r="A50" t="s">
        <v>21</v>
      </c>
      <c r="B50">
        <v>2058</v>
      </c>
      <c r="C50" s="13">
        <f t="shared" si="2"/>
        <v>282132.57582432427</v>
      </c>
      <c r="D50" s="13">
        <f t="shared" si="3"/>
        <v>220491.63710810809</v>
      </c>
      <c r="E50" s="13">
        <f t="shared" si="4"/>
        <v>766538.60810810816</v>
      </c>
      <c r="F50" s="13">
        <f t="shared" si="4"/>
        <v>179807.96209459461</v>
      </c>
      <c r="G50" s="13">
        <f t="shared" si="4"/>
        <v>213354.59459459462</v>
      </c>
      <c r="H50" s="13">
        <f t="shared" si="4"/>
        <v>8217.0675675675666</v>
      </c>
      <c r="I50" s="13">
        <f t="shared" si="4"/>
        <v>373248.64864864864</v>
      </c>
      <c r="J50" s="13">
        <f t="shared" si="4"/>
        <v>139426.63513513515</v>
      </c>
      <c r="K50" s="13">
        <f t="shared" si="4"/>
        <v>233821.95945945947</v>
      </c>
      <c r="L50" s="13">
        <f t="shared" si="4"/>
        <v>8217.0675675675666</v>
      </c>
      <c r="M50" s="13">
        <f t="shared" si="4"/>
        <v>8217.0675675675666</v>
      </c>
      <c r="N50" s="13">
        <f t="shared" si="4"/>
        <v>0</v>
      </c>
      <c r="O50" s="13">
        <f t="shared" si="4"/>
        <v>6728.2162162162167</v>
      </c>
      <c r="P50" s="13">
        <f t="shared" si="4"/>
        <v>124336.18918918919</v>
      </c>
      <c r="Q50" s="13">
        <f t="shared" si="4"/>
        <v>145.16216216216216</v>
      </c>
      <c r="R50" s="13">
        <f t="shared" si="4"/>
        <v>124336.18918918919</v>
      </c>
      <c r="S50" s="13">
        <f t="shared" si="4"/>
        <v>145.16216216216216</v>
      </c>
    </row>
    <row r="51" spans="1:19" x14ac:dyDescent="0.4">
      <c r="A51" t="s">
        <v>21</v>
      </c>
      <c r="B51">
        <v>2059</v>
      </c>
      <c r="C51" s="13">
        <f t="shared" si="2"/>
        <v>283684.80516216211</v>
      </c>
      <c r="D51" s="13">
        <f t="shared" si="3"/>
        <v>220795.73905405405</v>
      </c>
      <c r="E51" s="13">
        <f t="shared" si="4"/>
        <v>773414.05405405408</v>
      </c>
      <c r="F51" s="13">
        <f t="shared" si="4"/>
        <v>181638.64629729732</v>
      </c>
      <c r="G51" s="13">
        <f t="shared" si="4"/>
        <v>215310.29729729728</v>
      </c>
      <c r="H51" s="13">
        <f t="shared" si="4"/>
        <v>8292.7837837837833</v>
      </c>
      <c r="I51" s="13">
        <f t="shared" si="4"/>
        <v>376329.32432432432</v>
      </c>
      <c r="J51" s="13">
        <f t="shared" ref="J51:S51" si="5">(J$52-J$15)/($B$52-$B$15)*($B51-$B$15)+J$15</f>
        <v>140641.56756756757</v>
      </c>
      <c r="K51" s="13">
        <f t="shared" si="5"/>
        <v>235687.72972972973</v>
      </c>
      <c r="L51" s="13">
        <f t="shared" si="5"/>
        <v>8292.7837837837833</v>
      </c>
      <c r="M51" s="13">
        <f t="shared" si="5"/>
        <v>8292.7837837837833</v>
      </c>
      <c r="N51" s="13">
        <f t="shared" si="5"/>
        <v>0</v>
      </c>
      <c r="O51" s="13">
        <f t="shared" si="5"/>
        <v>6832.1081081081084</v>
      </c>
      <c r="P51" s="13">
        <f t="shared" si="5"/>
        <v>125370.59459459459</v>
      </c>
      <c r="Q51" s="13">
        <f t="shared" si="5"/>
        <v>146.08108108108109</v>
      </c>
      <c r="R51" s="13">
        <f t="shared" si="5"/>
        <v>125370.59459459459</v>
      </c>
      <c r="S51" s="13">
        <f t="shared" si="5"/>
        <v>146.08108108108109</v>
      </c>
    </row>
    <row r="52" spans="1:19" x14ac:dyDescent="0.4">
      <c r="A52" t="s">
        <v>21</v>
      </c>
      <c r="B52">
        <v>2060</v>
      </c>
      <c r="C52" s="13">
        <f>C7*1.5</f>
        <v>285237.03449999995</v>
      </c>
      <c r="D52" s="13">
        <f>D7*0.9</f>
        <v>221099.84099999999</v>
      </c>
      <c r="E52" s="13">
        <f t="shared" ref="E52:R52" si="6">E7*1.5</f>
        <v>780289.5</v>
      </c>
      <c r="F52" s="13">
        <f t="shared" si="6"/>
        <v>183469.33050000001</v>
      </c>
      <c r="G52" s="13">
        <f t="shared" si="6"/>
        <v>217266</v>
      </c>
      <c r="H52" s="13">
        <f t="shared" si="6"/>
        <v>8368.5</v>
      </c>
      <c r="I52" s="13">
        <f t="shared" si="6"/>
        <v>379410</v>
      </c>
      <c r="J52" s="13">
        <f t="shared" si="6"/>
        <v>141856.5</v>
      </c>
      <c r="K52" s="13">
        <f t="shared" si="6"/>
        <v>237553.5</v>
      </c>
      <c r="L52" s="13">
        <f t="shared" si="6"/>
        <v>8368.5</v>
      </c>
      <c r="M52" s="13">
        <f t="shared" si="6"/>
        <v>8368.5</v>
      </c>
      <c r="N52" s="13">
        <f t="shared" si="6"/>
        <v>0</v>
      </c>
      <c r="O52" s="13">
        <f t="shared" si="6"/>
        <v>6936</v>
      </c>
      <c r="P52" s="13">
        <f t="shared" si="6"/>
        <v>126405</v>
      </c>
      <c r="Q52" s="13">
        <f t="shared" si="6"/>
        <v>147</v>
      </c>
      <c r="R52" s="13">
        <f t="shared" si="6"/>
        <v>126405</v>
      </c>
      <c r="S52" s="13">
        <f>S7*1.5</f>
        <v>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2"/>
  <sheetViews>
    <sheetView topLeftCell="C5" zoomScale="63" zoomScaleNormal="70" workbookViewId="0">
      <selection activeCell="C16" sqref="C16:T52"/>
    </sheetView>
  </sheetViews>
  <sheetFormatPr defaultRowHeight="14.6" x14ac:dyDescent="0.4"/>
  <cols>
    <col min="3" max="3" width="12.69140625" bestFit="1" customWidth="1"/>
    <col min="4" max="4" width="11.69140625" bestFit="1" customWidth="1"/>
    <col min="5" max="5" width="12.69140625" bestFit="1" customWidth="1"/>
    <col min="6" max="6" width="11.69140625" bestFit="1" customWidth="1"/>
    <col min="7" max="8" width="10.69140625" bestFit="1" customWidth="1"/>
    <col min="9" max="11" width="12.765625" bestFit="1" customWidth="1"/>
    <col min="12" max="12" width="10.3828125" bestFit="1" customWidth="1"/>
    <col min="13" max="16" width="12.765625" bestFit="1" customWidth="1"/>
    <col min="17" max="19" width="11.3828125" bestFit="1" customWidth="1"/>
    <col min="20" max="20" width="9.3046875" bestFit="1" customWidth="1"/>
    <col min="22" max="26" width="9.3046875" bestFit="1" customWidth="1"/>
    <col min="27" max="27" width="11.84375" bestFit="1" customWidth="1"/>
    <col min="28" max="28" width="9.3046875" bestFit="1" customWidth="1"/>
  </cols>
  <sheetData>
    <row r="1" spans="1:3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6" t="s">
        <v>19</v>
      </c>
    </row>
    <row r="2" spans="1:35" x14ac:dyDescent="0.4">
      <c r="A2" t="s">
        <v>22</v>
      </c>
      <c r="B2">
        <v>2010</v>
      </c>
      <c r="C2" s="2">
        <v>3117163.7590000001</v>
      </c>
      <c r="D2" s="2">
        <v>95119.351999999999</v>
      </c>
      <c r="E2" s="2">
        <v>3883641</v>
      </c>
      <c r="F2" s="2">
        <v>78232.232999999993</v>
      </c>
      <c r="G2" s="2">
        <v>34409</v>
      </c>
      <c r="H2" s="2">
        <v>11016</v>
      </c>
      <c r="I2" s="2">
        <v>3771010</v>
      </c>
      <c r="J2" s="2">
        <v>1377538</v>
      </c>
      <c r="K2" s="2">
        <v>2393472</v>
      </c>
      <c r="L2" s="2">
        <v>10932</v>
      </c>
      <c r="M2" s="2">
        <v>10932</v>
      </c>
      <c r="N2" s="2">
        <v>85</v>
      </c>
      <c r="O2" s="2">
        <v>695248</v>
      </c>
      <c r="P2" s="2">
        <v>477265</v>
      </c>
      <c r="Q2" s="2">
        <v>194093</v>
      </c>
      <c r="R2" s="2">
        <v>477265</v>
      </c>
      <c r="S2" s="2">
        <v>194093</v>
      </c>
      <c r="T2" s="2">
        <f t="shared" ref="T2:T33" si="0">C2+D2</f>
        <v>3212283.111</v>
      </c>
      <c r="V2" s="2">
        <v>2010</v>
      </c>
      <c r="W2">
        <f t="shared" ref="W2:W16" si="1">J2/T2</f>
        <v>0.42883455548572907</v>
      </c>
      <c r="X2">
        <f t="shared" ref="X2:X16" si="2">K2/T2</f>
        <v>0.74509995454756162</v>
      </c>
      <c r="Y2">
        <f t="shared" ref="Y2:Y16" si="3">L2/T2</f>
        <v>3.4031869614994216E-3</v>
      </c>
      <c r="Z2">
        <f t="shared" ref="Z2:Z16" si="4">M2/T2</f>
        <v>3.4031869614994216E-3</v>
      </c>
      <c r="AA2">
        <f t="shared" ref="AA2:AA16" si="5">N2/T2</f>
        <v>2.646093045439543E-5</v>
      </c>
      <c r="AB2">
        <f t="shared" ref="AB2:AB16" si="6">O2/T2</f>
        <v>0.21643422325361783</v>
      </c>
      <c r="AC2">
        <f t="shared" ref="AC2:AC16" si="7">P2/T2</f>
        <v>0.14857501145078866</v>
      </c>
      <c r="AD2">
        <f t="shared" ref="AD2:AD16" si="8">Q2/T2</f>
        <v>6.0422133819823205E-2</v>
      </c>
      <c r="AE2">
        <f t="shared" ref="AE2:AE16" si="9">R2/T2</f>
        <v>0.14857501145078866</v>
      </c>
      <c r="AF2">
        <f t="shared" ref="AF2:AF16" si="10">S2/T2</f>
        <v>6.0422133819823205E-2</v>
      </c>
      <c r="AG2">
        <f t="shared" ref="AG2:AG16" si="11">H2/T2</f>
        <v>3.4293365868896478E-3</v>
      </c>
      <c r="AH2">
        <f t="shared" ref="AH2:AH16" si="12">G2/T2</f>
        <v>1.071169595300344E-2</v>
      </c>
      <c r="AI2">
        <f t="shared" ref="AI2:AI16" si="13">E2/T2</f>
        <v>1.2089971107157498</v>
      </c>
    </row>
    <row r="3" spans="1:35" x14ac:dyDescent="0.4">
      <c r="A3" t="s">
        <v>22</v>
      </c>
      <c r="B3">
        <v>2011</v>
      </c>
      <c r="C3" s="2">
        <v>3357807.5320000001</v>
      </c>
      <c r="D3" s="2">
        <v>99919.805999999997</v>
      </c>
      <c r="E3" s="2">
        <v>4124446</v>
      </c>
      <c r="F3" s="2">
        <v>79483.58</v>
      </c>
      <c r="G3" s="2">
        <v>34556</v>
      </c>
      <c r="H3" s="2">
        <v>11099</v>
      </c>
      <c r="I3" s="2">
        <v>4010173</v>
      </c>
      <c r="J3" s="2">
        <v>1411540</v>
      </c>
      <c r="K3" s="2">
        <v>2598633</v>
      </c>
      <c r="L3" s="2">
        <v>11019</v>
      </c>
      <c r="M3" s="2">
        <v>11019</v>
      </c>
      <c r="N3" s="2">
        <v>80</v>
      </c>
      <c r="O3" s="2">
        <v>733803</v>
      </c>
      <c r="P3" s="2">
        <v>467836</v>
      </c>
      <c r="Q3" s="2">
        <v>198883</v>
      </c>
      <c r="R3" s="2">
        <v>467836</v>
      </c>
      <c r="S3" s="2">
        <v>198883</v>
      </c>
      <c r="T3" s="2">
        <f t="shared" si="0"/>
        <v>3457727.338</v>
      </c>
      <c r="V3" s="2">
        <v>2011</v>
      </c>
      <c r="W3">
        <f t="shared" si="1"/>
        <v>0.40822767732069221</v>
      </c>
      <c r="X3">
        <f t="shared" si="2"/>
        <v>0.75154364297072862</v>
      </c>
      <c r="Y3">
        <f t="shared" si="3"/>
        <v>3.1867752783461376E-3</v>
      </c>
      <c r="Z3">
        <f t="shared" si="4"/>
        <v>3.1867752783461376E-3</v>
      </c>
      <c r="AA3">
        <f t="shared" si="5"/>
        <v>2.3136584287838371E-5</v>
      </c>
      <c r="AB3">
        <f t="shared" si="6"/>
        <v>0.21222118700210826</v>
      </c>
      <c r="AC3">
        <f t="shared" si="7"/>
        <v>0.13530158808606441</v>
      </c>
      <c r="AD3">
        <f t="shared" si="8"/>
        <v>5.7518416161476987E-2</v>
      </c>
      <c r="AE3">
        <f t="shared" si="9"/>
        <v>0.13530158808606441</v>
      </c>
      <c r="AF3">
        <f t="shared" si="10"/>
        <v>5.7518416161476987E-2</v>
      </c>
      <c r="AG3">
        <f t="shared" si="11"/>
        <v>3.2099118626339762E-3</v>
      </c>
      <c r="AH3">
        <f t="shared" si="12"/>
        <v>9.9938475831317843E-3</v>
      </c>
      <c r="AI3">
        <f t="shared" si="13"/>
        <v>1.1928199064954728</v>
      </c>
    </row>
    <row r="4" spans="1:35" x14ac:dyDescent="0.4">
      <c r="A4" t="s">
        <v>22</v>
      </c>
      <c r="B4">
        <v>2012</v>
      </c>
      <c r="C4" s="2">
        <v>2979497.764</v>
      </c>
      <c r="D4" s="2">
        <v>84329.01</v>
      </c>
      <c r="E4" s="2">
        <v>3725907</v>
      </c>
      <c r="F4" s="2">
        <v>88266.459000000003</v>
      </c>
      <c r="G4" s="2">
        <v>34542</v>
      </c>
      <c r="H4" s="2">
        <v>11188</v>
      </c>
      <c r="I4" s="2">
        <v>3600993</v>
      </c>
      <c r="J4" s="2">
        <v>1445543</v>
      </c>
      <c r="K4" s="2">
        <v>2155450</v>
      </c>
      <c r="L4" s="2">
        <v>11106</v>
      </c>
      <c r="M4" s="2">
        <v>11106</v>
      </c>
      <c r="N4" s="2">
        <v>82</v>
      </c>
      <c r="O4" s="2">
        <v>772357</v>
      </c>
      <c r="P4" s="2">
        <v>458408</v>
      </c>
      <c r="Q4" s="2">
        <v>203672</v>
      </c>
      <c r="R4" s="2">
        <v>458408</v>
      </c>
      <c r="S4" s="2">
        <v>203672</v>
      </c>
      <c r="T4" s="2">
        <f t="shared" si="0"/>
        <v>3063826.7739999997</v>
      </c>
      <c r="V4" s="2">
        <v>2012</v>
      </c>
      <c r="W4">
        <f t="shared" si="1"/>
        <v>0.47180963762933686</v>
      </c>
      <c r="X4">
        <f t="shared" si="2"/>
        <v>0.70351562245339927</v>
      </c>
      <c r="Y4">
        <f t="shared" si="3"/>
        <v>3.6248785650177234E-3</v>
      </c>
      <c r="Z4">
        <f t="shared" si="4"/>
        <v>3.6248785650177234E-3</v>
      </c>
      <c r="AA4">
        <f t="shared" si="5"/>
        <v>2.6763915210827779E-5</v>
      </c>
      <c r="AB4">
        <f t="shared" si="6"/>
        <v>0.25208899098157694</v>
      </c>
      <c r="AC4">
        <f t="shared" si="7"/>
        <v>0.14961942492640415</v>
      </c>
      <c r="AD4">
        <f t="shared" si="8"/>
        <v>6.6476343156337991E-2</v>
      </c>
      <c r="AE4">
        <f t="shared" si="9"/>
        <v>0.14961942492640415</v>
      </c>
      <c r="AF4">
        <f t="shared" si="10"/>
        <v>6.6476343156337991E-2</v>
      </c>
      <c r="AG4">
        <f t="shared" si="11"/>
        <v>3.6516424802285515E-3</v>
      </c>
      <c r="AH4">
        <f t="shared" si="12"/>
        <v>1.1274136087956257E-2</v>
      </c>
      <c r="AI4">
        <f t="shared" si="13"/>
        <v>1.2160958418467036</v>
      </c>
    </row>
    <row r="5" spans="1:35" x14ac:dyDescent="0.4">
      <c r="A5" t="s">
        <v>22</v>
      </c>
      <c r="B5">
        <v>2013</v>
      </c>
      <c r="C5" s="2">
        <v>2813223.6979999999</v>
      </c>
      <c r="D5" s="2">
        <v>81456.087</v>
      </c>
      <c r="E5" s="2">
        <v>3552156</v>
      </c>
      <c r="F5" s="2">
        <v>95478.747000000003</v>
      </c>
      <c r="G5" s="2">
        <v>34533</v>
      </c>
      <c r="H5" s="2">
        <v>11268</v>
      </c>
      <c r="I5" s="2">
        <v>3421326</v>
      </c>
      <c r="J5" s="2">
        <v>1426847</v>
      </c>
      <c r="K5" s="2">
        <v>1994479</v>
      </c>
      <c r="L5" s="2">
        <v>11185</v>
      </c>
      <c r="M5" s="2">
        <v>11185</v>
      </c>
      <c r="N5" s="2">
        <v>83</v>
      </c>
      <c r="O5" s="2">
        <v>758185</v>
      </c>
      <c r="P5" s="2">
        <v>450345</v>
      </c>
      <c r="Q5" s="2">
        <v>207130</v>
      </c>
      <c r="R5" s="2">
        <v>450345</v>
      </c>
      <c r="S5" s="2">
        <v>207130</v>
      </c>
      <c r="T5" s="2">
        <f t="shared" si="0"/>
        <v>2894679.7849999997</v>
      </c>
      <c r="V5" s="2">
        <v>2013</v>
      </c>
      <c r="W5">
        <f t="shared" si="1"/>
        <v>0.49292049759486617</v>
      </c>
      <c r="X5">
        <f t="shared" si="2"/>
        <v>0.68901541729597571</v>
      </c>
      <c r="Y5">
        <f t="shared" si="3"/>
        <v>3.8639852525173182E-3</v>
      </c>
      <c r="Z5">
        <f t="shared" si="4"/>
        <v>3.8639852525173182E-3</v>
      </c>
      <c r="AA5">
        <f t="shared" si="5"/>
        <v>2.8673292441567939E-5</v>
      </c>
      <c r="AB5">
        <f t="shared" si="6"/>
        <v>0.26192361722662877</v>
      </c>
      <c r="AC5">
        <f t="shared" si="7"/>
        <v>0.15557679379033632</v>
      </c>
      <c r="AD5">
        <f t="shared" si="8"/>
        <v>7.155541040267431E-2</v>
      </c>
      <c r="AE5">
        <f t="shared" si="9"/>
        <v>0.15557679379033632</v>
      </c>
      <c r="AF5">
        <f t="shared" si="10"/>
        <v>7.155541040267431E-2</v>
      </c>
      <c r="AG5">
        <f t="shared" si="11"/>
        <v>3.892658544958886E-3</v>
      </c>
      <c r="AH5">
        <f t="shared" si="12"/>
        <v>1.1929816962465851E-2</v>
      </c>
      <c r="AI5">
        <f t="shared" si="13"/>
        <v>1.2271326239285567</v>
      </c>
    </row>
    <row r="6" spans="1:35" x14ac:dyDescent="0.4">
      <c r="A6" t="s">
        <v>22</v>
      </c>
      <c r="B6">
        <v>2014</v>
      </c>
      <c r="C6" s="2">
        <v>2825767.72</v>
      </c>
      <c r="D6" s="2">
        <v>84124.811000000002</v>
      </c>
      <c r="E6" s="2">
        <v>3562763</v>
      </c>
      <c r="F6" s="2">
        <v>101127.24400000001</v>
      </c>
      <c r="G6" s="2">
        <v>37594</v>
      </c>
      <c r="H6" s="2">
        <v>11346</v>
      </c>
      <c r="I6" s="2">
        <v>3422997</v>
      </c>
      <c r="J6" s="2">
        <v>1408150</v>
      </c>
      <c r="K6" s="2">
        <v>2014847</v>
      </c>
      <c r="L6" s="2">
        <v>11266</v>
      </c>
      <c r="M6" s="2">
        <v>11266</v>
      </c>
      <c r="N6" s="2">
        <v>80</v>
      </c>
      <c r="O6" s="2">
        <v>744013</v>
      </c>
      <c r="P6" s="2">
        <v>442283</v>
      </c>
      <c r="Q6" s="2">
        <v>210588</v>
      </c>
      <c r="R6" s="2">
        <v>442283</v>
      </c>
      <c r="S6" s="2">
        <v>210588</v>
      </c>
      <c r="T6" s="2">
        <f t="shared" si="0"/>
        <v>2909892.5310000004</v>
      </c>
      <c r="V6" s="2">
        <v>2014</v>
      </c>
      <c r="W6">
        <f t="shared" si="1"/>
        <v>0.48391821519129491</v>
      </c>
      <c r="X6">
        <f t="shared" si="2"/>
        <v>0.69241285667260943</v>
      </c>
      <c r="Y6">
        <f t="shared" si="3"/>
        <v>3.8716206457729135E-3</v>
      </c>
      <c r="Z6">
        <f t="shared" si="4"/>
        <v>3.8716206457729135E-3</v>
      </c>
      <c r="AA6">
        <f t="shared" si="5"/>
        <v>2.7492424255444087E-5</v>
      </c>
      <c r="AB6">
        <f t="shared" si="6"/>
        <v>0.25568401309457151</v>
      </c>
      <c r="AC6">
        <f t="shared" si="7"/>
        <v>0.15199289846213221</v>
      </c>
      <c r="AD6">
        <f t="shared" si="8"/>
        <v>7.236968298881824E-2</v>
      </c>
      <c r="AE6">
        <f t="shared" si="9"/>
        <v>0.15199289846213221</v>
      </c>
      <c r="AF6">
        <f t="shared" si="10"/>
        <v>7.236968298881824E-2</v>
      </c>
      <c r="AG6">
        <f t="shared" si="11"/>
        <v>3.8991130700283577E-3</v>
      </c>
      <c r="AH6">
        <f t="shared" si="12"/>
        <v>1.2919377468239563E-2</v>
      </c>
      <c r="AI6">
        <f t="shared" si="13"/>
        <v>1.2243623989699843</v>
      </c>
    </row>
    <row r="7" spans="1:35" x14ac:dyDescent="0.4">
      <c r="A7" t="s">
        <v>22</v>
      </c>
      <c r="B7">
        <v>2015</v>
      </c>
      <c r="C7" s="2">
        <v>2904317.051</v>
      </c>
      <c r="D7" s="2">
        <v>82100.629000000001</v>
      </c>
      <c r="E7" s="2">
        <v>3646826</v>
      </c>
      <c r="F7" s="2">
        <v>101472.66499999999</v>
      </c>
      <c r="G7" s="2">
        <v>36211</v>
      </c>
      <c r="H7" s="2">
        <v>11623</v>
      </c>
      <c r="I7" s="2">
        <v>3508185</v>
      </c>
      <c r="J7" s="2">
        <v>1388967</v>
      </c>
      <c r="K7" s="2">
        <v>2119218</v>
      </c>
      <c r="L7" s="2">
        <v>11549</v>
      </c>
      <c r="M7" s="2">
        <v>11549</v>
      </c>
      <c r="N7" s="2">
        <v>74</v>
      </c>
      <c r="O7" s="2">
        <v>717010</v>
      </c>
      <c r="P7" s="2">
        <v>451784</v>
      </c>
      <c r="Q7" s="2">
        <v>208625</v>
      </c>
      <c r="R7" s="2">
        <v>451784</v>
      </c>
      <c r="S7" s="2">
        <v>208625</v>
      </c>
      <c r="T7" s="2">
        <f t="shared" si="0"/>
        <v>2986417.68</v>
      </c>
      <c r="V7" s="2">
        <v>2015</v>
      </c>
      <c r="W7">
        <f t="shared" si="1"/>
        <v>0.46509468829557687</v>
      </c>
      <c r="X7">
        <f t="shared" si="2"/>
        <v>0.70961875634221394</v>
      </c>
      <c r="Y7">
        <f t="shared" si="3"/>
        <v>3.867175069764521E-3</v>
      </c>
      <c r="Z7">
        <f t="shared" si="4"/>
        <v>3.867175069764521E-3</v>
      </c>
      <c r="AA7">
        <f t="shared" si="5"/>
        <v>2.4778851429783925E-5</v>
      </c>
      <c r="AB7">
        <f t="shared" si="6"/>
        <v>0.24009032788742396</v>
      </c>
      <c r="AC7">
        <f t="shared" si="7"/>
        <v>0.15127957586964191</v>
      </c>
      <c r="AD7">
        <f t="shared" si="8"/>
        <v>6.9857944318090157E-2</v>
      </c>
      <c r="AE7">
        <f t="shared" si="9"/>
        <v>0.15127957586964191</v>
      </c>
      <c r="AF7">
        <f t="shared" si="10"/>
        <v>6.9857944318090157E-2</v>
      </c>
      <c r="AG7">
        <f t="shared" si="11"/>
        <v>3.8919539211943049E-3</v>
      </c>
      <c r="AH7">
        <f t="shared" si="12"/>
        <v>1.2125229582755482E-2</v>
      </c>
      <c r="AI7">
        <f t="shared" si="13"/>
        <v>1.2211372924901784</v>
      </c>
    </row>
    <row r="8" spans="1:35" x14ac:dyDescent="0.4">
      <c r="A8" t="s">
        <v>22</v>
      </c>
      <c r="B8">
        <v>2016</v>
      </c>
      <c r="C8" s="2">
        <v>2909511.9079999998</v>
      </c>
      <c r="D8" s="2">
        <v>86519.994000000006</v>
      </c>
      <c r="E8" s="2">
        <v>3663977</v>
      </c>
      <c r="F8" s="2">
        <v>101792.67</v>
      </c>
      <c r="G8" s="2">
        <v>38759</v>
      </c>
      <c r="H8" s="2">
        <v>11904</v>
      </c>
      <c r="I8" s="2">
        <v>3524035</v>
      </c>
      <c r="J8" s="2">
        <v>1369784</v>
      </c>
      <c r="K8" s="2">
        <v>2154251</v>
      </c>
      <c r="L8" s="2">
        <v>11833</v>
      </c>
      <c r="M8" s="2">
        <v>11833</v>
      </c>
      <c r="N8" s="2">
        <v>71</v>
      </c>
      <c r="O8" s="2">
        <v>690006</v>
      </c>
      <c r="P8" s="2">
        <v>461284</v>
      </c>
      <c r="Q8" s="2">
        <v>206661</v>
      </c>
      <c r="R8" s="2">
        <v>461284</v>
      </c>
      <c r="S8" s="2">
        <v>206661</v>
      </c>
      <c r="T8" s="2">
        <f t="shared" si="0"/>
        <v>2996031.9019999998</v>
      </c>
      <c r="V8" s="2">
        <v>2016</v>
      </c>
      <c r="W8">
        <f t="shared" si="1"/>
        <v>0.45719940401355585</v>
      </c>
      <c r="X8">
        <f t="shared" si="2"/>
        <v>0.71903473342921709</v>
      </c>
      <c r="Y8">
        <f t="shared" si="3"/>
        <v>3.949557410286882E-3</v>
      </c>
      <c r="Z8">
        <f t="shared" si="4"/>
        <v>3.949557410286882E-3</v>
      </c>
      <c r="AA8">
        <f t="shared" si="5"/>
        <v>2.3698012011355414E-5</v>
      </c>
      <c r="AB8">
        <f t="shared" si="6"/>
        <v>0.23030662642122962</v>
      </c>
      <c r="AC8">
        <f t="shared" si="7"/>
        <v>0.15396498271332493</v>
      </c>
      <c r="AD8">
        <f t="shared" si="8"/>
        <v>6.8978237468714385E-2</v>
      </c>
      <c r="AE8">
        <f t="shared" si="9"/>
        <v>0.15396498271332493</v>
      </c>
      <c r="AF8">
        <f t="shared" si="10"/>
        <v>6.8978237468714385E-2</v>
      </c>
      <c r="AG8">
        <f t="shared" si="11"/>
        <v>3.9732554222982374E-3</v>
      </c>
      <c r="AH8">
        <f t="shared" si="12"/>
        <v>1.2936778134480626E-2</v>
      </c>
      <c r="AI8">
        <f t="shared" si="13"/>
        <v>1.2229432528919715</v>
      </c>
    </row>
    <row r="9" spans="1:35" x14ac:dyDescent="0.4">
      <c r="A9" t="s">
        <v>22</v>
      </c>
      <c r="B9">
        <v>2017</v>
      </c>
      <c r="C9" s="2">
        <v>3001564.5690000001</v>
      </c>
      <c r="D9" s="2">
        <v>96291.292000000001</v>
      </c>
      <c r="E9" s="2">
        <v>3794270</v>
      </c>
      <c r="F9" s="2">
        <v>102326.287</v>
      </c>
      <c r="G9" s="2">
        <v>35762</v>
      </c>
      <c r="H9" s="2">
        <v>11645</v>
      </c>
      <c r="I9" s="2">
        <v>3657219</v>
      </c>
      <c r="J9" s="2">
        <v>1388698</v>
      </c>
      <c r="K9" s="2">
        <v>2268521</v>
      </c>
      <c r="L9" s="2">
        <v>11574</v>
      </c>
      <c r="M9" s="2">
        <v>11574</v>
      </c>
      <c r="N9" s="2">
        <v>71</v>
      </c>
      <c r="O9" s="2">
        <v>680710</v>
      </c>
      <c r="P9" s="2">
        <v>479342</v>
      </c>
      <c r="Q9" s="2">
        <v>217072</v>
      </c>
      <c r="R9" s="2">
        <v>479342</v>
      </c>
      <c r="S9" s="2">
        <v>217072</v>
      </c>
      <c r="T9" s="2">
        <f t="shared" si="0"/>
        <v>3097855.861</v>
      </c>
      <c r="V9" s="2">
        <v>2017</v>
      </c>
      <c r="W9">
        <f t="shared" si="1"/>
        <v>0.44827715113630978</v>
      </c>
      <c r="X9">
        <f t="shared" si="2"/>
        <v>0.73228746003298961</v>
      </c>
      <c r="Y9">
        <f t="shared" si="3"/>
        <v>3.7361325120736466E-3</v>
      </c>
      <c r="Z9">
        <f t="shared" si="4"/>
        <v>3.7361325120736466E-3</v>
      </c>
      <c r="AA9">
        <f t="shared" si="5"/>
        <v>2.2919077964163549E-5</v>
      </c>
      <c r="AB9">
        <f t="shared" si="6"/>
        <v>0.21973585297163056</v>
      </c>
      <c r="AC9">
        <f t="shared" si="7"/>
        <v>0.15473347421828287</v>
      </c>
      <c r="AD9">
        <f t="shared" si="8"/>
        <v>7.007169143432268E-2</v>
      </c>
      <c r="AE9">
        <f t="shared" si="9"/>
        <v>0.15473347421828287</v>
      </c>
      <c r="AF9">
        <f t="shared" si="10"/>
        <v>7.007169143432268E-2</v>
      </c>
      <c r="AG9">
        <f t="shared" si="11"/>
        <v>3.7590515900378105E-3</v>
      </c>
      <c r="AH9">
        <f t="shared" si="12"/>
        <v>1.1544113607808689E-2</v>
      </c>
      <c r="AI9">
        <f t="shared" si="13"/>
        <v>1.2248052105223497</v>
      </c>
    </row>
    <row r="10" spans="1:35" x14ac:dyDescent="0.4">
      <c r="A10" t="s">
        <v>22</v>
      </c>
      <c r="B10">
        <v>2018</v>
      </c>
      <c r="C10" s="2">
        <v>3143076.3840000001</v>
      </c>
      <c r="D10" s="2">
        <v>100887.163</v>
      </c>
      <c r="E10" s="2">
        <v>3968847</v>
      </c>
      <c r="F10" s="2">
        <v>100332.202</v>
      </c>
      <c r="G10" s="2">
        <v>36171</v>
      </c>
      <c r="H10" s="2">
        <v>11382</v>
      </c>
      <c r="I10" s="2">
        <v>3835770</v>
      </c>
      <c r="J10" s="2">
        <v>1407612</v>
      </c>
      <c r="K10" s="2">
        <v>2428159</v>
      </c>
      <c r="L10" s="2">
        <v>11314</v>
      </c>
      <c r="M10" s="2">
        <v>11314</v>
      </c>
      <c r="N10" s="2">
        <v>68</v>
      </c>
      <c r="O10" s="2">
        <v>671414</v>
      </c>
      <c r="P10" s="2">
        <v>497401</v>
      </c>
      <c r="Q10" s="2">
        <v>227483</v>
      </c>
      <c r="R10" s="2">
        <v>497401</v>
      </c>
      <c r="S10" s="2">
        <v>227483</v>
      </c>
      <c r="T10" s="2">
        <f t="shared" si="0"/>
        <v>3243963.5470000003</v>
      </c>
      <c r="V10" s="2">
        <v>2018</v>
      </c>
      <c r="W10">
        <f t="shared" si="1"/>
        <v>0.43391732971282981</v>
      </c>
      <c r="X10">
        <f t="shared" si="2"/>
        <v>0.74851611765044279</v>
      </c>
      <c r="Y10">
        <f t="shared" si="3"/>
        <v>3.4877087353411E-3</v>
      </c>
      <c r="Z10">
        <f t="shared" si="4"/>
        <v>3.4877087353411E-3</v>
      </c>
      <c r="AA10">
        <f t="shared" si="5"/>
        <v>2.096201113692724E-5</v>
      </c>
      <c r="AB10">
        <f t="shared" si="6"/>
        <v>0.20697334919836569</v>
      </c>
      <c r="AC10">
        <f t="shared" si="7"/>
        <v>0.1533312544340992</v>
      </c>
      <c r="AD10">
        <f t="shared" si="8"/>
        <v>7.0125017345023813E-2</v>
      </c>
      <c r="AE10">
        <f t="shared" si="9"/>
        <v>0.1533312544340992</v>
      </c>
      <c r="AF10">
        <f t="shared" si="10"/>
        <v>7.0125017345023813E-2</v>
      </c>
      <c r="AG10">
        <f t="shared" si="11"/>
        <v>3.5086707464780272E-3</v>
      </c>
      <c r="AH10">
        <f t="shared" si="12"/>
        <v>1.1150248600496989E-2</v>
      </c>
      <c r="AI10">
        <f t="shared" si="13"/>
        <v>1.2234561031582392</v>
      </c>
    </row>
    <row r="11" spans="1:35" x14ac:dyDescent="0.4">
      <c r="A11" t="s">
        <v>22</v>
      </c>
      <c r="B11">
        <v>2019</v>
      </c>
      <c r="C11" s="2">
        <v>3300889.2209999999</v>
      </c>
      <c r="D11" s="2">
        <v>105487.489</v>
      </c>
      <c r="E11" s="2">
        <v>4121711</v>
      </c>
      <c r="F11" s="2">
        <v>93209.879000000001</v>
      </c>
      <c r="G11" s="2">
        <v>35848</v>
      </c>
      <c r="H11" s="2">
        <v>11350</v>
      </c>
      <c r="I11" s="2">
        <v>3999877</v>
      </c>
      <c r="J11" s="2">
        <v>1332873</v>
      </c>
      <c r="K11" s="2">
        <v>2667004</v>
      </c>
      <c r="L11" s="2">
        <v>11280</v>
      </c>
      <c r="M11" s="2">
        <v>11280</v>
      </c>
      <c r="N11" s="2">
        <v>70</v>
      </c>
      <c r="O11" s="2">
        <v>606259</v>
      </c>
      <c r="P11" s="2">
        <v>470512</v>
      </c>
      <c r="Q11" s="2">
        <v>244822</v>
      </c>
      <c r="R11" s="2">
        <v>470512</v>
      </c>
      <c r="S11" s="2">
        <v>244822</v>
      </c>
      <c r="T11" s="2">
        <f t="shared" si="0"/>
        <v>3406376.71</v>
      </c>
      <c r="V11" s="2">
        <v>2019</v>
      </c>
      <c r="W11">
        <f t="shared" si="1"/>
        <v>0.39128760952572389</v>
      </c>
      <c r="X11">
        <f t="shared" si="2"/>
        <v>0.78294452641440238</v>
      </c>
      <c r="Y11">
        <f t="shared" si="3"/>
        <v>3.3114364500219941E-3</v>
      </c>
      <c r="Z11">
        <f t="shared" si="4"/>
        <v>3.3114364500219941E-3</v>
      </c>
      <c r="AA11">
        <f t="shared" si="5"/>
        <v>2.0549694282051381E-5</v>
      </c>
      <c r="AB11">
        <f t="shared" si="6"/>
        <v>0.17797767293917413</v>
      </c>
      <c r="AC11">
        <f t="shared" si="7"/>
        <v>0.13812682508623658</v>
      </c>
      <c r="AD11">
        <f t="shared" si="8"/>
        <v>7.1871675050291198E-2</v>
      </c>
      <c r="AE11">
        <f t="shared" si="9"/>
        <v>0.13812682508623658</v>
      </c>
      <c r="AF11">
        <f t="shared" si="10"/>
        <v>7.1871675050291198E-2</v>
      </c>
      <c r="AG11">
        <f t="shared" si="11"/>
        <v>3.3319861443040456E-3</v>
      </c>
      <c r="AH11">
        <f t="shared" si="12"/>
        <v>1.0523792008899685E-2</v>
      </c>
      <c r="AI11">
        <f t="shared" si="13"/>
        <v>1.2099985852709756</v>
      </c>
    </row>
    <row r="12" spans="1:35" x14ac:dyDescent="0.4">
      <c r="A12" t="s">
        <v>22</v>
      </c>
      <c r="B12">
        <v>2020</v>
      </c>
      <c r="C12" s="2">
        <v>3260089.872</v>
      </c>
      <c r="D12" s="2">
        <v>102182.564</v>
      </c>
      <c r="E12" s="2">
        <v>4067937</v>
      </c>
      <c r="F12" s="2">
        <v>88261.187000000005</v>
      </c>
      <c r="G12" s="2">
        <v>37031</v>
      </c>
      <c r="H12" s="2">
        <v>11333</v>
      </c>
      <c r="I12" s="2">
        <v>3948698</v>
      </c>
      <c r="J12" s="2">
        <v>1258035</v>
      </c>
      <c r="K12" s="2">
        <v>2690663</v>
      </c>
      <c r="L12" s="2">
        <v>11266</v>
      </c>
      <c r="M12" s="2">
        <v>11266</v>
      </c>
      <c r="N12" s="2">
        <v>67</v>
      </c>
      <c r="O12" s="2">
        <v>541105</v>
      </c>
      <c r="P12" s="2">
        <v>443478</v>
      </c>
      <c r="Q12" s="2">
        <v>262186</v>
      </c>
      <c r="R12" s="2">
        <v>443478</v>
      </c>
      <c r="S12" s="2">
        <v>262186</v>
      </c>
      <c r="T12" s="2">
        <f t="shared" si="0"/>
        <v>3362272.4359999998</v>
      </c>
      <c r="V12" s="2">
        <v>2020</v>
      </c>
      <c r="W12">
        <f t="shared" si="1"/>
        <v>0.37416212515385833</v>
      </c>
      <c r="X12">
        <f t="shared" si="2"/>
        <v>0.80025133335150123</v>
      </c>
      <c r="Y12">
        <f t="shared" si="3"/>
        <v>3.3507100374658635E-3</v>
      </c>
      <c r="Z12">
        <f t="shared" si="4"/>
        <v>3.3507100374658635E-3</v>
      </c>
      <c r="AA12">
        <f t="shared" si="5"/>
        <v>1.9926999157661358E-5</v>
      </c>
      <c r="AB12">
        <f t="shared" si="6"/>
        <v>0.16093431162994551</v>
      </c>
      <c r="AC12">
        <f t="shared" si="7"/>
        <v>0.13189829451404991</v>
      </c>
      <c r="AD12">
        <f t="shared" si="8"/>
        <v>7.7978808972397035E-2</v>
      </c>
      <c r="AE12">
        <f t="shared" si="9"/>
        <v>0.13189829451404991</v>
      </c>
      <c r="AF12">
        <f t="shared" si="10"/>
        <v>7.7978808972397035E-2</v>
      </c>
      <c r="AG12">
        <f t="shared" si="11"/>
        <v>3.3706370366235251E-3</v>
      </c>
      <c r="AH12">
        <f t="shared" si="12"/>
        <v>1.1013682176229221E-2</v>
      </c>
      <c r="AI12">
        <f t="shared" si="13"/>
        <v>1.2098772712301413</v>
      </c>
    </row>
    <row r="13" spans="1:35" x14ac:dyDescent="0.4">
      <c r="A13" t="s">
        <v>22</v>
      </c>
      <c r="B13">
        <v>2021</v>
      </c>
      <c r="C13" s="2">
        <v>3389486.4550000001</v>
      </c>
      <c r="D13" s="2">
        <v>111842.52</v>
      </c>
      <c r="E13" s="2">
        <v>4232588</v>
      </c>
      <c r="F13" s="2">
        <v>93628.054999999993</v>
      </c>
      <c r="G13" s="2">
        <v>36234</v>
      </c>
      <c r="H13" s="2">
        <v>10951</v>
      </c>
      <c r="I13" s="2">
        <v>4110731</v>
      </c>
      <c r="J13" s="2">
        <v>1272330</v>
      </c>
      <c r="K13" s="2">
        <v>2838401</v>
      </c>
      <c r="L13" s="2">
        <v>10881</v>
      </c>
      <c r="M13" s="2">
        <v>10881</v>
      </c>
      <c r="N13" s="2">
        <v>70</v>
      </c>
      <c r="O13" s="2">
        <v>530190</v>
      </c>
      <c r="P13" s="2">
        <v>461429</v>
      </c>
      <c r="Q13" s="2">
        <v>269831</v>
      </c>
      <c r="R13" s="2">
        <v>461429</v>
      </c>
      <c r="S13" s="2">
        <v>269831</v>
      </c>
      <c r="T13" s="2">
        <f t="shared" si="0"/>
        <v>3501328.9750000001</v>
      </c>
      <c r="V13" s="2">
        <v>2021</v>
      </c>
      <c r="W13">
        <f t="shared" si="1"/>
        <v>0.3633848773093365</v>
      </c>
      <c r="X13">
        <f t="shared" si="2"/>
        <v>0.81066389941265082</v>
      </c>
      <c r="Y13">
        <f t="shared" si="3"/>
        <v>3.1076771356510421E-3</v>
      </c>
      <c r="Z13">
        <f t="shared" si="4"/>
        <v>3.1076771356510421E-3</v>
      </c>
      <c r="AA13">
        <f t="shared" si="5"/>
        <v>1.9992408739598653E-5</v>
      </c>
      <c r="AB13">
        <f t="shared" si="6"/>
        <v>0.15142535985211159</v>
      </c>
      <c r="AC13">
        <f t="shared" si="7"/>
        <v>0.13178681674720383</v>
      </c>
      <c r="AD13">
        <f t="shared" si="8"/>
        <v>7.7065309180209207E-2</v>
      </c>
      <c r="AE13">
        <f t="shared" si="9"/>
        <v>0.13178681674720383</v>
      </c>
      <c r="AF13">
        <f t="shared" si="10"/>
        <v>7.7065309180209207E-2</v>
      </c>
      <c r="AG13">
        <f t="shared" si="11"/>
        <v>3.1276695443906411E-3</v>
      </c>
      <c r="AH13">
        <f t="shared" si="12"/>
        <v>1.0348641975294538E-2</v>
      </c>
      <c r="AI13">
        <f t="shared" si="13"/>
        <v>1.2088518474617198</v>
      </c>
    </row>
    <row r="14" spans="1:35" x14ac:dyDescent="0.4">
      <c r="A14" t="s">
        <v>22</v>
      </c>
      <c r="B14">
        <v>2022</v>
      </c>
      <c r="C14" s="2">
        <v>3343315.7059999998</v>
      </c>
      <c r="D14" s="2">
        <v>108544.891</v>
      </c>
      <c r="E14" s="2">
        <v>4210866</v>
      </c>
      <c r="F14" s="2">
        <v>86500.078999999998</v>
      </c>
      <c r="G14" s="2">
        <v>35325</v>
      </c>
      <c r="H14" s="2">
        <v>10558</v>
      </c>
      <c r="I14" s="2">
        <v>4105693</v>
      </c>
      <c r="J14" s="2">
        <v>1288802</v>
      </c>
      <c r="K14" s="2">
        <v>2816891</v>
      </c>
      <c r="L14" s="2">
        <v>10498</v>
      </c>
      <c r="M14" s="2">
        <v>10498</v>
      </c>
      <c r="N14" s="2">
        <v>60</v>
      </c>
      <c r="O14" s="2">
        <v>519299</v>
      </c>
      <c r="P14" s="2">
        <v>481529</v>
      </c>
      <c r="Q14" s="2">
        <v>277476</v>
      </c>
      <c r="R14" s="2">
        <v>481529</v>
      </c>
      <c r="S14" s="2">
        <v>277476</v>
      </c>
      <c r="T14" s="2">
        <f t="shared" si="0"/>
        <v>3451860.5969999996</v>
      </c>
      <c r="V14" s="2">
        <v>2022</v>
      </c>
      <c r="W14">
        <f t="shared" si="1"/>
        <v>0.37336444036010419</v>
      </c>
      <c r="X14">
        <f t="shared" si="2"/>
        <v>0.81605004629913225</v>
      </c>
      <c r="Y14">
        <f t="shared" si="3"/>
        <v>3.0412583894968924E-3</v>
      </c>
      <c r="Z14">
        <f t="shared" si="4"/>
        <v>3.0412583894968924E-3</v>
      </c>
      <c r="AA14">
        <f t="shared" si="5"/>
        <v>1.7381930212403651E-5</v>
      </c>
      <c r="AB14">
        <f t="shared" si="6"/>
        <v>0.15044031628951673</v>
      </c>
      <c r="AC14">
        <f t="shared" si="7"/>
        <v>0.13949839122080865</v>
      </c>
      <c r="AD14">
        <f t="shared" si="8"/>
        <v>8.0384474460281935E-2</v>
      </c>
      <c r="AE14">
        <f t="shared" si="9"/>
        <v>0.13949839122080865</v>
      </c>
      <c r="AF14">
        <f t="shared" si="10"/>
        <v>8.0384474460281935E-2</v>
      </c>
      <c r="AG14">
        <f t="shared" si="11"/>
        <v>3.058640319709296E-3</v>
      </c>
      <c r="AH14">
        <f t="shared" si="12"/>
        <v>1.023361141255265E-2</v>
      </c>
      <c r="AI14">
        <f t="shared" si="13"/>
        <v>1.2198829824297219</v>
      </c>
    </row>
    <row r="15" spans="1:35" x14ac:dyDescent="0.4">
      <c r="A15" t="s">
        <v>22</v>
      </c>
      <c r="B15">
        <v>2023</v>
      </c>
      <c r="C15" s="2">
        <v>3155488.6519999998</v>
      </c>
      <c r="D15" s="2">
        <v>94291.463000000003</v>
      </c>
      <c r="E15" s="2">
        <v>4003531</v>
      </c>
      <c r="F15" s="2">
        <v>79598.731</v>
      </c>
      <c r="G15" s="2">
        <v>36226</v>
      </c>
      <c r="H15" s="2">
        <v>11806</v>
      </c>
      <c r="I15" s="2">
        <v>3889276</v>
      </c>
      <c r="J15" s="2">
        <v>1300812</v>
      </c>
      <c r="K15" s="2">
        <v>2588464</v>
      </c>
      <c r="L15" s="2">
        <v>11745</v>
      </c>
      <c r="M15" s="2">
        <v>11745</v>
      </c>
      <c r="N15" s="2">
        <v>60</v>
      </c>
      <c r="O15" s="2">
        <v>535315</v>
      </c>
      <c r="P15" s="2">
        <v>477505</v>
      </c>
      <c r="Q15" s="2">
        <v>276247</v>
      </c>
      <c r="R15" s="2">
        <v>477505</v>
      </c>
      <c r="S15" s="2">
        <v>276247</v>
      </c>
      <c r="T15" s="2">
        <f t="shared" si="0"/>
        <v>3249780.1149999998</v>
      </c>
      <c r="V15" s="2">
        <v>2023</v>
      </c>
      <c r="W15">
        <f t="shared" si="1"/>
        <v>0.40027692765915029</v>
      </c>
      <c r="X15">
        <f t="shared" si="2"/>
        <v>0.79650435057203872</v>
      </c>
      <c r="Y15">
        <f t="shared" si="3"/>
        <v>3.6140906721007495E-3</v>
      </c>
      <c r="Z15">
        <f t="shared" si="4"/>
        <v>3.6140906721007495E-3</v>
      </c>
      <c r="AA15">
        <f t="shared" si="5"/>
        <v>1.8462787596938694E-5</v>
      </c>
      <c r="AB15">
        <f t="shared" si="6"/>
        <v>0.16472345237425395</v>
      </c>
      <c r="AC15">
        <f t="shared" si="7"/>
        <v>0.14693455652460352</v>
      </c>
      <c r="AD15">
        <f t="shared" si="8"/>
        <v>8.5004828088192055E-2</v>
      </c>
      <c r="AE15">
        <f t="shared" si="9"/>
        <v>0.14693455652460352</v>
      </c>
      <c r="AF15">
        <f t="shared" si="10"/>
        <v>8.5004828088192055E-2</v>
      </c>
      <c r="AG15">
        <f t="shared" si="11"/>
        <v>3.6328611728243037E-3</v>
      </c>
      <c r="AH15">
        <f t="shared" si="12"/>
        <v>1.1147215724778352E-2</v>
      </c>
      <c r="AI15">
        <f t="shared" si="13"/>
        <v>1.2319390415126594</v>
      </c>
    </row>
    <row r="16" spans="1:35" x14ac:dyDescent="0.4">
      <c r="A16" t="s">
        <v>22</v>
      </c>
      <c r="B16">
        <v>2024</v>
      </c>
      <c r="C16" s="13">
        <f>(C$52-C$15)/($B$52-$B$15)*($B16-$B$15)+C$15</f>
        <v>3242894.2968702703</v>
      </c>
      <c r="D16" s="13">
        <f>(D$52-D$15)/($B$52-$B$15)*($B16-$B$15)+D$15</f>
        <v>96624.704102702701</v>
      </c>
      <c r="E16" s="13">
        <f t="shared" ref="E16:S17" si="14">(E$52-E$15)/($B$52-$B$15)*($B16-$B$15)+E$15</f>
        <v>4112165.762162162</v>
      </c>
      <c r="F16" s="13">
        <f t="shared" si="14"/>
        <v>83480.923756756762</v>
      </c>
      <c r="G16" s="13">
        <f t="shared" si="14"/>
        <v>37400.005405405405</v>
      </c>
      <c r="H16" s="13">
        <f t="shared" si="14"/>
        <v>12178.016216216216</v>
      </c>
      <c r="I16" s="13">
        <f t="shared" si="14"/>
        <v>3992755.2162162163</v>
      </c>
      <c r="J16" s="13">
        <f t="shared" si="14"/>
        <v>1348242.145945946</v>
      </c>
      <c r="K16" s="13">
        <f t="shared" si="14"/>
        <v>2644513.0702702701</v>
      </c>
      <c r="L16" s="13">
        <f t="shared" si="14"/>
        <v>12114.264864864865</v>
      </c>
      <c r="M16" s="13">
        <f t="shared" si="14"/>
        <v>12114.264864864865</v>
      </c>
      <c r="N16" s="13">
        <f t="shared" si="14"/>
        <v>62.778378378378378</v>
      </c>
      <c r="O16" s="13">
        <f t="shared" si="14"/>
        <v>563480.05405405408</v>
      </c>
      <c r="P16" s="13">
        <f t="shared" si="14"/>
        <v>491462.29189189192</v>
      </c>
      <c r="Q16" s="13">
        <f t="shared" si="14"/>
        <v>281185.59459459462</v>
      </c>
      <c r="R16" s="13">
        <f t="shared" si="14"/>
        <v>491462.29189189192</v>
      </c>
      <c r="S16" s="13">
        <f t="shared" si="14"/>
        <v>281185.59459459462</v>
      </c>
      <c r="T16" s="13">
        <f t="shared" si="0"/>
        <v>3339519.0009729732</v>
      </c>
      <c r="V16" s="2">
        <v>2024</v>
      </c>
      <c r="W16">
        <f t="shared" si="1"/>
        <v>0.4037234540522554</v>
      </c>
      <c r="X16">
        <f t="shared" si="2"/>
        <v>0.79188442093001654</v>
      </c>
      <c r="Y16">
        <f t="shared" si="3"/>
        <v>3.6275478179149025E-3</v>
      </c>
      <c r="Z16">
        <f t="shared" si="4"/>
        <v>3.6275478179149025E-3</v>
      </c>
      <c r="AA16">
        <f t="shared" si="5"/>
        <v>1.8798628892390735E-5</v>
      </c>
      <c r="AB16">
        <f t="shared" si="6"/>
        <v>0.16873090223169368</v>
      </c>
      <c r="AC16">
        <f t="shared" si="7"/>
        <v>0.14716559233491522</v>
      </c>
      <c r="AD16">
        <f t="shared" si="8"/>
        <v>8.4199429472529078E-2</v>
      </c>
      <c r="AE16">
        <f t="shared" si="9"/>
        <v>0.14716559233491522</v>
      </c>
      <c r="AF16">
        <f t="shared" si="10"/>
        <v>8.4199429472529078E-2</v>
      </c>
      <c r="AG16">
        <f t="shared" si="11"/>
        <v>3.6466377980386203E-3</v>
      </c>
      <c r="AH16">
        <f t="shared" si="12"/>
        <v>1.1199219227232684E-2</v>
      </c>
      <c r="AI16">
        <f t="shared" si="13"/>
        <v>1.2313646848435589</v>
      </c>
    </row>
    <row r="17" spans="1:20" x14ac:dyDescent="0.4">
      <c r="A17" t="s">
        <v>22</v>
      </c>
      <c r="B17">
        <v>2025</v>
      </c>
      <c r="C17" s="13">
        <f>(C$52-C$15)/($B$52-$B$15)*($B17-$B$15)+C$15</f>
        <v>3330299.9417405403</v>
      </c>
      <c r="D17" s="13">
        <f>(D$52-D$15)/($B$52-$B$15)*($B17-$B$15)+D$15</f>
        <v>98957.945205405413</v>
      </c>
      <c r="E17" s="13">
        <f t="shared" si="14"/>
        <v>4220800.524324324</v>
      </c>
      <c r="F17" s="13">
        <f t="shared" si="14"/>
        <v>87363.116513513509</v>
      </c>
      <c r="G17" s="13">
        <f t="shared" si="14"/>
        <v>38574.010810810811</v>
      </c>
      <c r="H17" s="13">
        <f t="shared" si="14"/>
        <v>12550.032432432432</v>
      </c>
      <c r="I17" s="13">
        <f t="shared" si="14"/>
        <v>4096234.4324324327</v>
      </c>
      <c r="J17" s="13">
        <f t="shared" ref="E17:S34" si="15">(J$52-J$15)/($B$52-$B$15)*($B17-$B$15)+J$15</f>
        <v>1395672.291891892</v>
      </c>
      <c r="K17" s="13">
        <f t="shared" si="15"/>
        <v>2700562.1405405407</v>
      </c>
      <c r="L17" s="13">
        <f t="shared" si="15"/>
        <v>12483.529729729729</v>
      </c>
      <c r="M17" s="13">
        <f t="shared" si="15"/>
        <v>12483.529729729729</v>
      </c>
      <c r="N17" s="13">
        <f t="shared" si="15"/>
        <v>65.556756756756755</v>
      </c>
      <c r="O17" s="13">
        <f t="shared" si="15"/>
        <v>591645.10810810816</v>
      </c>
      <c r="P17" s="13">
        <f t="shared" si="15"/>
        <v>505419.58378378378</v>
      </c>
      <c r="Q17" s="13">
        <f t="shared" si="15"/>
        <v>286124.18918918917</v>
      </c>
      <c r="R17" s="13">
        <f t="shared" si="15"/>
        <v>505419.58378378378</v>
      </c>
      <c r="S17" s="13">
        <f t="shared" si="15"/>
        <v>286124.18918918917</v>
      </c>
      <c r="T17" s="13">
        <f t="shared" si="0"/>
        <v>3429257.8869459457</v>
      </c>
    </row>
    <row r="18" spans="1:20" x14ac:dyDescent="0.4">
      <c r="A18" t="s">
        <v>22</v>
      </c>
      <c r="B18">
        <v>2026</v>
      </c>
      <c r="C18" s="13">
        <f t="shared" ref="C18:C51" si="16">(C$52-C$15)/($B$52-$B$15)*($B18-$B$15)+C$15</f>
        <v>3417705.5866108108</v>
      </c>
      <c r="D18" s="13">
        <f>(D$52-D$15)/($B$52-$B$15)*($B18-$B$15)+D$15</f>
        <v>101291.18630810811</v>
      </c>
      <c r="E18" s="13">
        <f t="shared" si="15"/>
        <v>4329435.2864864869</v>
      </c>
      <c r="F18" s="13">
        <f t="shared" si="15"/>
        <v>91245.309270270271</v>
      </c>
      <c r="G18" s="13">
        <f t="shared" si="15"/>
        <v>39748.016216216216</v>
      </c>
      <c r="H18" s="13">
        <f t="shared" si="15"/>
        <v>12922.048648648648</v>
      </c>
      <c r="I18" s="13">
        <f t="shared" si="15"/>
        <v>4199713.6486486485</v>
      </c>
      <c r="J18" s="13">
        <f t="shared" si="15"/>
        <v>1443102.437837838</v>
      </c>
      <c r="K18" s="13">
        <f t="shared" si="15"/>
        <v>2756611.2108108108</v>
      </c>
      <c r="L18" s="13">
        <f t="shared" si="15"/>
        <v>12852.794594594594</v>
      </c>
      <c r="M18" s="13">
        <f t="shared" si="15"/>
        <v>12852.794594594594</v>
      </c>
      <c r="N18" s="13">
        <f t="shared" si="15"/>
        <v>68.335135135135133</v>
      </c>
      <c r="O18" s="13">
        <f t="shared" si="15"/>
        <v>619810.16216216213</v>
      </c>
      <c r="P18" s="13">
        <f t="shared" si="15"/>
        <v>519376.87567567569</v>
      </c>
      <c r="Q18" s="13">
        <f t="shared" si="15"/>
        <v>291062.78378378379</v>
      </c>
      <c r="R18" s="13">
        <f t="shared" si="15"/>
        <v>519376.87567567569</v>
      </c>
      <c r="S18" s="13">
        <f t="shared" si="15"/>
        <v>291062.78378378379</v>
      </c>
      <c r="T18" s="13">
        <f t="shared" si="0"/>
        <v>3518996.7729189191</v>
      </c>
    </row>
    <row r="19" spans="1:20" x14ac:dyDescent="0.4">
      <c r="A19" t="s">
        <v>22</v>
      </c>
      <c r="B19">
        <v>2027</v>
      </c>
      <c r="C19" s="13">
        <f t="shared" si="16"/>
        <v>3505111.2314810809</v>
      </c>
      <c r="D19" s="13">
        <f t="shared" ref="D19:D51" si="17">(D$52-D$15)/($B$52-$B$15)*($B19-$B$15)+D$15</f>
        <v>103624.42741081081</v>
      </c>
      <c r="E19" s="13">
        <f t="shared" si="15"/>
        <v>4438070.0486486489</v>
      </c>
      <c r="F19" s="13">
        <f t="shared" si="15"/>
        <v>95127.502027027032</v>
      </c>
      <c r="G19" s="13">
        <f t="shared" si="15"/>
        <v>40922.021621621621</v>
      </c>
      <c r="H19" s="13">
        <f t="shared" si="15"/>
        <v>13294.064864864866</v>
      </c>
      <c r="I19" s="13">
        <f t="shared" si="15"/>
        <v>4303192.8648648653</v>
      </c>
      <c r="J19" s="13">
        <f t="shared" si="15"/>
        <v>1490532.5837837839</v>
      </c>
      <c r="K19" s="13">
        <f t="shared" si="15"/>
        <v>2812660.2810810814</v>
      </c>
      <c r="L19" s="13">
        <f t="shared" si="15"/>
        <v>13222.05945945946</v>
      </c>
      <c r="M19" s="13">
        <f t="shared" si="15"/>
        <v>13222.05945945946</v>
      </c>
      <c r="N19" s="13">
        <f t="shared" si="15"/>
        <v>71.11351351351351</v>
      </c>
      <c r="O19" s="13">
        <f t="shared" si="15"/>
        <v>647975.21621621621</v>
      </c>
      <c r="P19" s="13">
        <f t="shared" si="15"/>
        <v>533334.16756756755</v>
      </c>
      <c r="Q19" s="13">
        <f t="shared" si="15"/>
        <v>296001.3783783784</v>
      </c>
      <c r="R19" s="13">
        <f t="shared" si="15"/>
        <v>533334.16756756755</v>
      </c>
      <c r="S19" s="13">
        <f t="shared" si="15"/>
        <v>296001.3783783784</v>
      </c>
      <c r="T19" s="13">
        <f t="shared" si="0"/>
        <v>3608735.6588918916</v>
      </c>
    </row>
    <row r="20" spans="1:20" x14ac:dyDescent="0.4">
      <c r="A20" t="s">
        <v>22</v>
      </c>
      <c r="B20">
        <v>2028</v>
      </c>
      <c r="C20" s="13">
        <f t="shared" si="16"/>
        <v>3592516.8763513514</v>
      </c>
      <c r="D20" s="13">
        <f t="shared" si="17"/>
        <v>105957.66851351352</v>
      </c>
      <c r="E20" s="13">
        <f t="shared" si="15"/>
        <v>4546704.8108108109</v>
      </c>
      <c r="F20" s="13">
        <f t="shared" si="15"/>
        <v>99009.69478378378</v>
      </c>
      <c r="G20" s="13">
        <f t="shared" si="15"/>
        <v>42096.027027027027</v>
      </c>
      <c r="H20" s="13">
        <f t="shared" si="15"/>
        <v>13666.081081081082</v>
      </c>
      <c r="I20" s="13">
        <f t="shared" si="15"/>
        <v>4406672.0810810812</v>
      </c>
      <c r="J20" s="13">
        <f t="shared" si="15"/>
        <v>1537962.7297297297</v>
      </c>
      <c r="K20" s="13">
        <f t="shared" si="15"/>
        <v>2868709.3513513515</v>
      </c>
      <c r="L20" s="13">
        <f t="shared" si="15"/>
        <v>13591.324324324325</v>
      </c>
      <c r="M20" s="13">
        <f t="shared" si="15"/>
        <v>13591.324324324325</v>
      </c>
      <c r="N20" s="13">
        <f t="shared" si="15"/>
        <v>73.891891891891902</v>
      </c>
      <c r="O20" s="13">
        <f t="shared" si="15"/>
        <v>676140.2702702703</v>
      </c>
      <c r="P20" s="13">
        <f t="shared" si="15"/>
        <v>547291.45945945941</v>
      </c>
      <c r="Q20" s="13">
        <f t="shared" si="15"/>
        <v>300939.97297297296</v>
      </c>
      <c r="R20" s="13">
        <f t="shared" si="15"/>
        <v>547291.45945945941</v>
      </c>
      <c r="S20" s="13">
        <f t="shared" si="15"/>
        <v>300939.97297297296</v>
      </c>
      <c r="T20" s="13">
        <f t="shared" si="0"/>
        <v>3698474.544864865</v>
      </c>
    </row>
    <row r="21" spans="1:20" x14ac:dyDescent="0.4">
      <c r="A21" t="s">
        <v>22</v>
      </c>
      <c r="B21">
        <v>2029</v>
      </c>
      <c r="C21" s="13">
        <f t="shared" si="16"/>
        <v>3679922.5212216214</v>
      </c>
      <c r="D21" s="13">
        <f t="shared" si="17"/>
        <v>108290.90961621622</v>
      </c>
      <c r="E21" s="13">
        <f t="shared" si="15"/>
        <v>4655339.5729729729</v>
      </c>
      <c r="F21" s="13">
        <f t="shared" si="15"/>
        <v>102891.88754054054</v>
      </c>
      <c r="G21" s="13">
        <f t="shared" si="15"/>
        <v>43270.032432432432</v>
      </c>
      <c r="H21" s="13">
        <f t="shared" si="15"/>
        <v>14038.097297297298</v>
      </c>
      <c r="I21" s="13">
        <f t="shared" si="15"/>
        <v>4510151.297297297</v>
      </c>
      <c r="J21" s="13">
        <f t="shared" si="15"/>
        <v>1585392.8756756757</v>
      </c>
      <c r="K21" s="13">
        <f t="shared" si="15"/>
        <v>2924758.4216216216</v>
      </c>
      <c r="L21" s="13">
        <f t="shared" si="15"/>
        <v>13960.58918918919</v>
      </c>
      <c r="M21" s="13">
        <f t="shared" si="15"/>
        <v>13960.58918918919</v>
      </c>
      <c r="N21" s="13">
        <f t="shared" si="15"/>
        <v>76.670270270270265</v>
      </c>
      <c r="O21" s="13">
        <f t="shared" si="15"/>
        <v>704305.32432432438</v>
      </c>
      <c r="P21" s="13">
        <f t="shared" si="15"/>
        <v>561248.75135135138</v>
      </c>
      <c r="Q21" s="13">
        <f t="shared" si="15"/>
        <v>305878.56756756757</v>
      </c>
      <c r="R21" s="13">
        <f t="shared" si="15"/>
        <v>561248.75135135138</v>
      </c>
      <c r="S21" s="13">
        <f t="shared" si="15"/>
        <v>305878.56756756757</v>
      </c>
      <c r="T21" s="13">
        <f t="shared" si="0"/>
        <v>3788213.4308378375</v>
      </c>
    </row>
    <row r="22" spans="1:20" x14ac:dyDescent="0.4">
      <c r="A22" t="s">
        <v>22</v>
      </c>
      <c r="B22">
        <v>2030</v>
      </c>
      <c r="C22" s="13">
        <f t="shared" si="16"/>
        <v>3767328.1660918919</v>
      </c>
      <c r="D22" s="13">
        <f t="shared" si="17"/>
        <v>110624.15071891893</v>
      </c>
      <c r="E22" s="13">
        <f t="shared" si="15"/>
        <v>4763974.3351351349</v>
      </c>
      <c r="F22" s="13">
        <f t="shared" si="15"/>
        <v>106774.0802972973</v>
      </c>
      <c r="G22" s="13">
        <f t="shared" si="15"/>
        <v>44444.037837837837</v>
      </c>
      <c r="H22" s="13">
        <f t="shared" si="15"/>
        <v>14410.113513513514</v>
      </c>
      <c r="I22" s="13">
        <f t="shared" si="15"/>
        <v>4613630.5135135138</v>
      </c>
      <c r="J22" s="13">
        <f t="shared" si="15"/>
        <v>1632823.0216216217</v>
      </c>
      <c r="K22" s="13">
        <f t="shared" si="15"/>
        <v>2980807.4918918922</v>
      </c>
      <c r="L22" s="13">
        <f t="shared" si="15"/>
        <v>14329.854054054054</v>
      </c>
      <c r="M22" s="13">
        <f t="shared" si="15"/>
        <v>14329.854054054054</v>
      </c>
      <c r="N22" s="13">
        <f t="shared" si="15"/>
        <v>79.448648648648657</v>
      </c>
      <c r="O22" s="13">
        <f t="shared" si="15"/>
        <v>732470.37837837846</v>
      </c>
      <c r="P22" s="13">
        <f t="shared" si="15"/>
        <v>575206.04324324324</v>
      </c>
      <c r="Q22" s="13">
        <f t="shared" si="15"/>
        <v>310817.16216216219</v>
      </c>
      <c r="R22" s="13">
        <f t="shared" si="15"/>
        <v>575206.04324324324</v>
      </c>
      <c r="S22" s="13">
        <f t="shared" si="15"/>
        <v>310817.16216216219</v>
      </c>
      <c r="T22" s="13">
        <f t="shared" si="0"/>
        <v>3877952.3168108109</v>
      </c>
    </row>
    <row r="23" spans="1:20" x14ac:dyDescent="0.4">
      <c r="A23" t="s">
        <v>22</v>
      </c>
      <c r="B23">
        <v>2031</v>
      </c>
      <c r="C23" s="13">
        <f t="shared" si="16"/>
        <v>3854733.810962162</v>
      </c>
      <c r="D23" s="13">
        <f t="shared" si="17"/>
        <v>112957.39182162163</v>
      </c>
      <c r="E23" s="13">
        <f t="shared" si="15"/>
        <v>4872609.0972972978</v>
      </c>
      <c r="F23" s="13">
        <f t="shared" si="15"/>
        <v>110656.27305405407</v>
      </c>
      <c r="G23" s="13">
        <f t="shared" si="15"/>
        <v>45618.043243243243</v>
      </c>
      <c r="H23" s="13">
        <f t="shared" si="15"/>
        <v>14782.12972972973</v>
      </c>
      <c r="I23" s="13">
        <f t="shared" si="15"/>
        <v>4717109.7297297297</v>
      </c>
      <c r="J23" s="13">
        <f t="shared" si="15"/>
        <v>1680253.1675675677</v>
      </c>
      <c r="K23" s="13">
        <f t="shared" si="15"/>
        <v>3036856.5621621623</v>
      </c>
      <c r="L23" s="13">
        <f t="shared" si="15"/>
        <v>14699.118918918919</v>
      </c>
      <c r="M23" s="13">
        <f t="shared" si="15"/>
        <v>14699.118918918919</v>
      </c>
      <c r="N23" s="13">
        <f t="shared" si="15"/>
        <v>82.227027027027034</v>
      </c>
      <c r="O23" s="13">
        <f t="shared" si="15"/>
        <v>760635.43243243243</v>
      </c>
      <c r="P23" s="13">
        <f t="shared" si="15"/>
        <v>589163.3351351351</v>
      </c>
      <c r="Q23" s="13">
        <f t="shared" si="15"/>
        <v>315755.75675675675</v>
      </c>
      <c r="R23" s="13">
        <f t="shared" si="15"/>
        <v>589163.3351351351</v>
      </c>
      <c r="S23" s="13">
        <f t="shared" si="15"/>
        <v>315755.75675675675</v>
      </c>
      <c r="T23" s="13">
        <f t="shared" si="0"/>
        <v>3967691.2027837834</v>
      </c>
    </row>
    <row r="24" spans="1:20" x14ac:dyDescent="0.4">
      <c r="A24" t="s">
        <v>22</v>
      </c>
      <c r="B24">
        <v>2032</v>
      </c>
      <c r="C24" s="13">
        <f t="shared" si="16"/>
        <v>3942139.4558324325</v>
      </c>
      <c r="D24" s="13">
        <f t="shared" si="17"/>
        <v>115290.63292432434</v>
      </c>
      <c r="E24" s="13">
        <f t="shared" si="15"/>
        <v>4981243.8594594598</v>
      </c>
      <c r="F24" s="13">
        <f t="shared" si="15"/>
        <v>114538.46581081081</v>
      </c>
      <c r="G24" s="13">
        <f t="shared" si="15"/>
        <v>46792.048648648648</v>
      </c>
      <c r="H24" s="13">
        <f t="shared" si="15"/>
        <v>15154.145945945947</v>
      </c>
      <c r="I24" s="13">
        <f t="shared" si="15"/>
        <v>4820588.9459459465</v>
      </c>
      <c r="J24" s="13">
        <f t="shared" si="15"/>
        <v>1727683.3135135137</v>
      </c>
      <c r="K24" s="13">
        <f t="shared" si="15"/>
        <v>3092905.6324324324</v>
      </c>
      <c r="L24" s="13">
        <f t="shared" si="15"/>
        <v>15068.383783783785</v>
      </c>
      <c r="M24" s="13">
        <f t="shared" si="15"/>
        <v>15068.383783783785</v>
      </c>
      <c r="N24" s="13">
        <f t="shared" si="15"/>
        <v>85.005405405405412</v>
      </c>
      <c r="O24" s="13">
        <f t="shared" si="15"/>
        <v>788800.48648648651</v>
      </c>
      <c r="P24" s="13">
        <f t="shared" si="15"/>
        <v>603120.62702702708</v>
      </c>
      <c r="Q24" s="13">
        <f t="shared" si="15"/>
        <v>320694.35135135136</v>
      </c>
      <c r="R24" s="13">
        <f t="shared" si="15"/>
        <v>603120.62702702708</v>
      </c>
      <c r="S24" s="13">
        <f t="shared" si="15"/>
        <v>320694.35135135136</v>
      </c>
      <c r="T24" s="13">
        <f t="shared" si="0"/>
        <v>4057430.0887567569</v>
      </c>
    </row>
    <row r="25" spans="1:20" x14ac:dyDescent="0.4">
      <c r="A25" t="s">
        <v>22</v>
      </c>
      <c r="B25">
        <v>2033</v>
      </c>
      <c r="C25" s="13">
        <f t="shared" si="16"/>
        <v>4029545.1007027025</v>
      </c>
      <c r="D25" s="13">
        <f t="shared" si="17"/>
        <v>117623.87402702704</v>
      </c>
      <c r="E25" s="13">
        <f t="shared" si="15"/>
        <v>5089878.6216216218</v>
      </c>
      <c r="F25" s="13">
        <f t="shared" si="15"/>
        <v>118420.65856756757</v>
      </c>
      <c r="G25" s="13">
        <f t="shared" si="15"/>
        <v>47966.054054054053</v>
      </c>
      <c r="H25" s="13">
        <f t="shared" si="15"/>
        <v>15526.162162162163</v>
      </c>
      <c r="I25" s="13">
        <f t="shared" si="15"/>
        <v>4924068.1621621624</v>
      </c>
      <c r="J25" s="13">
        <f t="shared" si="15"/>
        <v>1775113.4594594596</v>
      </c>
      <c r="K25" s="13">
        <f t="shared" si="15"/>
        <v>3148954.702702703</v>
      </c>
      <c r="L25" s="13">
        <f t="shared" si="15"/>
        <v>15437.64864864865</v>
      </c>
      <c r="M25" s="13">
        <f t="shared" si="15"/>
        <v>15437.64864864865</v>
      </c>
      <c r="N25" s="13">
        <f t="shared" si="15"/>
        <v>87.78378378378379</v>
      </c>
      <c r="O25" s="13">
        <f t="shared" si="15"/>
        <v>816965.54054054059</v>
      </c>
      <c r="P25" s="13">
        <f t="shared" si="15"/>
        <v>617077.91891891893</v>
      </c>
      <c r="Q25" s="13">
        <f t="shared" si="15"/>
        <v>325632.94594594598</v>
      </c>
      <c r="R25" s="13">
        <f t="shared" si="15"/>
        <v>617077.91891891893</v>
      </c>
      <c r="S25" s="13">
        <f t="shared" si="15"/>
        <v>325632.94594594598</v>
      </c>
      <c r="T25" s="13">
        <f t="shared" si="0"/>
        <v>4147168.9747297294</v>
      </c>
    </row>
    <row r="26" spans="1:20" x14ac:dyDescent="0.4">
      <c r="A26" t="s">
        <v>22</v>
      </c>
      <c r="B26">
        <v>2034</v>
      </c>
      <c r="C26" s="13">
        <f t="shared" si="16"/>
        <v>4116950.745572973</v>
      </c>
      <c r="D26" s="13">
        <f t="shared" si="17"/>
        <v>119957.11512972973</v>
      </c>
      <c r="E26" s="13">
        <f t="shared" si="15"/>
        <v>5198513.3837837838</v>
      </c>
      <c r="F26" s="13">
        <f t="shared" si="15"/>
        <v>122302.85132432432</v>
      </c>
      <c r="G26" s="13">
        <f t="shared" si="15"/>
        <v>49140.059459459466</v>
      </c>
      <c r="H26" s="13">
        <f t="shared" si="15"/>
        <v>15898.178378378379</v>
      </c>
      <c r="I26" s="13">
        <f t="shared" si="15"/>
        <v>5027547.3783783782</v>
      </c>
      <c r="J26" s="13">
        <f t="shared" si="15"/>
        <v>1822543.6054054056</v>
      </c>
      <c r="K26" s="13">
        <f t="shared" si="15"/>
        <v>3205003.7729729731</v>
      </c>
      <c r="L26" s="13">
        <f t="shared" si="15"/>
        <v>15806.913513513515</v>
      </c>
      <c r="M26" s="13">
        <f t="shared" si="15"/>
        <v>15806.913513513515</v>
      </c>
      <c r="N26" s="13">
        <f t="shared" si="15"/>
        <v>90.562162162162167</v>
      </c>
      <c r="O26" s="13">
        <f t="shared" si="15"/>
        <v>845130.59459459467</v>
      </c>
      <c r="P26" s="13">
        <f t="shared" si="15"/>
        <v>631035.21081081079</v>
      </c>
      <c r="Q26" s="13">
        <f t="shared" si="15"/>
        <v>330571.54054054053</v>
      </c>
      <c r="R26" s="13">
        <f t="shared" si="15"/>
        <v>631035.21081081079</v>
      </c>
      <c r="S26" s="13">
        <f t="shared" si="15"/>
        <v>330571.54054054053</v>
      </c>
      <c r="T26" s="13">
        <f t="shared" si="0"/>
        <v>4236907.8607027028</v>
      </c>
    </row>
    <row r="27" spans="1:20" x14ac:dyDescent="0.4">
      <c r="A27" t="s">
        <v>22</v>
      </c>
      <c r="B27">
        <v>2035</v>
      </c>
      <c r="C27" s="13">
        <f t="shared" si="16"/>
        <v>4204356.3904432431</v>
      </c>
      <c r="D27" s="13">
        <f t="shared" si="17"/>
        <v>122290.35623243244</v>
      </c>
      <c r="E27" s="13">
        <f t="shared" si="15"/>
        <v>5307148.1459459458</v>
      </c>
      <c r="F27" s="13">
        <f t="shared" si="15"/>
        <v>126185.04408108108</v>
      </c>
      <c r="G27" s="13">
        <f t="shared" si="15"/>
        <v>50314.064864864871</v>
      </c>
      <c r="H27" s="13">
        <f t="shared" si="15"/>
        <v>16270.194594594595</v>
      </c>
      <c r="I27" s="13">
        <f t="shared" si="15"/>
        <v>5131026.594594595</v>
      </c>
      <c r="J27" s="13">
        <f t="shared" si="15"/>
        <v>1869973.7513513514</v>
      </c>
      <c r="K27" s="13">
        <f t="shared" si="15"/>
        <v>3261052.8432432432</v>
      </c>
      <c r="L27" s="13">
        <f t="shared" si="15"/>
        <v>16176.178378378379</v>
      </c>
      <c r="M27" s="13">
        <f t="shared" si="15"/>
        <v>16176.178378378379</v>
      </c>
      <c r="N27" s="13">
        <f t="shared" si="15"/>
        <v>93.340540540540545</v>
      </c>
      <c r="O27" s="13">
        <f t="shared" si="15"/>
        <v>873295.64864864876</v>
      </c>
      <c r="P27" s="13">
        <f t="shared" si="15"/>
        <v>644992.50270270277</v>
      </c>
      <c r="Q27" s="13">
        <f t="shared" si="15"/>
        <v>335510.13513513515</v>
      </c>
      <c r="R27" s="13">
        <f t="shared" si="15"/>
        <v>644992.50270270277</v>
      </c>
      <c r="S27" s="13">
        <f t="shared" si="15"/>
        <v>335510.13513513515</v>
      </c>
      <c r="T27" s="13">
        <f t="shared" si="0"/>
        <v>4326646.7466756757</v>
      </c>
    </row>
    <row r="28" spans="1:20" x14ac:dyDescent="0.4">
      <c r="A28" t="s">
        <v>22</v>
      </c>
      <c r="B28">
        <v>2036</v>
      </c>
      <c r="C28" s="13">
        <f t="shared" si="16"/>
        <v>4291762.0353135131</v>
      </c>
      <c r="D28" s="13">
        <f t="shared" si="17"/>
        <v>124623.59733513514</v>
      </c>
      <c r="E28" s="13">
        <f t="shared" si="15"/>
        <v>5415782.9081081077</v>
      </c>
      <c r="F28" s="13">
        <f t="shared" si="15"/>
        <v>130067.23683783785</v>
      </c>
      <c r="G28" s="13">
        <f t="shared" si="15"/>
        <v>51488.070270270277</v>
      </c>
      <c r="H28" s="13">
        <f t="shared" si="15"/>
        <v>16642.210810810811</v>
      </c>
      <c r="I28" s="13">
        <f t="shared" si="15"/>
        <v>5234505.8108108109</v>
      </c>
      <c r="J28" s="13">
        <f t="shared" si="15"/>
        <v>1917403.8972972976</v>
      </c>
      <c r="K28" s="13">
        <f t="shared" si="15"/>
        <v>3317101.9135135137</v>
      </c>
      <c r="L28" s="13">
        <f t="shared" si="15"/>
        <v>16545.443243243244</v>
      </c>
      <c r="M28" s="13">
        <f t="shared" si="15"/>
        <v>16545.443243243244</v>
      </c>
      <c r="N28" s="13">
        <f t="shared" si="15"/>
        <v>96.118918918918922</v>
      </c>
      <c r="O28" s="13">
        <f t="shared" si="15"/>
        <v>901460.70270270272</v>
      </c>
      <c r="P28" s="13">
        <f t="shared" si="15"/>
        <v>658949.79459459463</v>
      </c>
      <c r="Q28" s="13">
        <f t="shared" si="15"/>
        <v>340448.72972972976</v>
      </c>
      <c r="R28" s="13">
        <f t="shared" si="15"/>
        <v>658949.79459459463</v>
      </c>
      <c r="S28" s="13">
        <f t="shared" si="15"/>
        <v>340448.72972972976</v>
      </c>
      <c r="T28" s="13">
        <f t="shared" si="0"/>
        <v>4416385.6326486487</v>
      </c>
    </row>
    <row r="29" spans="1:20" x14ac:dyDescent="0.4">
      <c r="A29" t="s">
        <v>22</v>
      </c>
      <c r="B29">
        <v>2037</v>
      </c>
      <c r="C29" s="13">
        <f t="shared" si="16"/>
        <v>4379167.6801837841</v>
      </c>
      <c r="D29" s="13">
        <f>(D$52-D$15)/($B$52-$B$15)*($B29-$B$15)+D$15</f>
        <v>126956.83843783784</v>
      </c>
      <c r="E29" s="13">
        <f t="shared" si="15"/>
        <v>5524417.6702702697</v>
      </c>
      <c r="F29" s="13">
        <f t="shared" si="15"/>
        <v>133949.42959459461</v>
      </c>
      <c r="G29" s="13">
        <f t="shared" si="15"/>
        <v>52662.075675675682</v>
      </c>
      <c r="H29" s="13">
        <f t="shared" si="15"/>
        <v>17014.227027027027</v>
      </c>
      <c r="I29" s="13">
        <f t="shared" si="15"/>
        <v>5337985.0270270277</v>
      </c>
      <c r="J29" s="13">
        <f t="shared" si="15"/>
        <v>1964834.0432432434</v>
      </c>
      <c r="K29" s="13">
        <f t="shared" si="15"/>
        <v>3373150.9837837839</v>
      </c>
      <c r="L29" s="13">
        <f t="shared" si="15"/>
        <v>16914.708108108109</v>
      </c>
      <c r="M29" s="13">
        <f t="shared" si="15"/>
        <v>16914.708108108109</v>
      </c>
      <c r="N29" s="13">
        <f t="shared" si="15"/>
        <v>98.897297297297314</v>
      </c>
      <c r="O29" s="13">
        <f t="shared" si="15"/>
        <v>929625.75675675692</v>
      </c>
      <c r="P29" s="13">
        <f t="shared" si="15"/>
        <v>672907.08648648649</v>
      </c>
      <c r="Q29" s="13">
        <f t="shared" si="15"/>
        <v>345387.32432432438</v>
      </c>
      <c r="R29" s="13">
        <f t="shared" si="15"/>
        <v>672907.08648648649</v>
      </c>
      <c r="S29" s="13">
        <f t="shared" si="15"/>
        <v>345387.32432432438</v>
      </c>
      <c r="T29" s="13">
        <f t="shared" si="0"/>
        <v>4506124.5186216217</v>
      </c>
    </row>
    <row r="30" spans="1:20" x14ac:dyDescent="0.4">
      <c r="A30" t="s">
        <v>22</v>
      </c>
      <c r="B30">
        <v>2038</v>
      </c>
      <c r="C30" s="13">
        <f t="shared" si="16"/>
        <v>4466573.3250540541</v>
      </c>
      <c r="D30" s="13">
        <f t="shared" si="17"/>
        <v>129290.07954054055</v>
      </c>
      <c r="E30" s="13">
        <f t="shared" si="15"/>
        <v>5633052.4324324327</v>
      </c>
      <c r="F30" s="13">
        <f t="shared" si="15"/>
        <v>137831.62235135137</v>
      </c>
      <c r="G30" s="13">
        <f t="shared" si="15"/>
        <v>53836.081081081087</v>
      </c>
      <c r="H30" s="13">
        <f t="shared" si="15"/>
        <v>17386.243243243243</v>
      </c>
      <c r="I30" s="13">
        <f t="shared" si="15"/>
        <v>5441464.2432432435</v>
      </c>
      <c r="J30" s="13">
        <f t="shared" si="15"/>
        <v>2012264.1891891893</v>
      </c>
      <c r="K30" s="13">
        <f t="shared" si="15"/>
        <v>3429200.0540540544</v>
      </c>
      <c r="L30" s="13">
        <f t="shared" si="15"/>
        <v>17283.972972972973</v>
      </c>
      <c r="M30" s="13">
        <f t="shared" si="15"/>
        <v>17283.972972972973</v>
      </c>
      <c r="N30" s="13">
        <f t="shared" si="15"/>
        <v>101.67567567567568</v>
      </c>
      <c r="O30" s="13">
        <f t="shared" si="15"/>
        <v>957790.81081081089</v>
      </c>
      <c r="P30" s="13">
        <f t="shared" si="15"/>
        <v>686864.37837837846</v>
      </c>
      <c r="Q30" s="13">
        <f t="shared" si="15"/>
        <v>350325.91891891893</v>
      </c>
      <c r="R30" s="13">
        <f t="shared" si="15"/>
        <v>686864.37837837846</v>
      </c>
      <c r="S30" s="13">
        <f t="shared" si="15"/>
        <v>350325.91891891893</v>
      </c>
      <c r="T30" s="13">
        <f t="shared" si="0"/>
        <v>4595863.4045945946</v>
      </c>
    </row>
    <row r="31" spans="1:20" x14ac:dyDescent="0.4">
      <c r="A31" t="s">
        <v>22</v>
      </c>
      <c r="B31">
        <v>2039</v>
      </c>
      <c r="C31" s="13">
        <f t="shared" si="16"/>
        <v>4553978.9699243242</v>
      </c>
      <c r="D31" s="13">
        <f t="shared" si="17"/>
        <v>131623.32064324326</v>
      </c>
      <c r="E31" s="13">
        <f t="shared" si="15"/>
        <v>5741687.1945945946</v>
      </c>
      <c r="F31" s="13">
        <f t="shared" si="15"/>
        <v>141713.8151081081</v>
      </c>
      <c r="G31" s="13">
        <f t="shared" si="15"/>
        <v>55010.086486486493</v>
      </c>
      <c r="H31" s="13">
        <f t="shared" si="15"/>
        <v>17758.259459459459</v>
      </c>
      <c r="I31" s="13">
        <f t="shared" si="15"/>
        <v>5544943.4594594594</v>
      </c>
      <c r="J31" s="13">
        <f t="shared" si="15"/>
        <v>2059694.3351351353</v>
      </c>
      <c r="K31" s="13">
        <f t="shared" si="15"/>
        <v>3485249.1243243245</v>
      </c>
      <c r="L31" s="13">
        <f t="shared" si="15"/>
        <v>17653.237837837838</v>
      </c>
      <c r="M31" s="13">
        <f t="shared" si="15"/>
        <v>17653.237837837838</v>
      </c>
      <c r="N31" s="13">
        <f t="shared" si="15"/>
        <v>104.45405405405407</v>
      </c>
      <c r="O31" s="13">
        <f t="shared" si="15"/>
        <v>985955.86486486497</v>
      </c>
      <c r="P31" s="13">
        <f t="shared" si="15"/>
        <v>700821.67027027032</v>
      </c>
      <c r="Q31" s="13">
        <f t="shared" si="15"/>
        <v>355264.51351351355</v>
      </c>
      <c r="R31" s="13">
        <f t="shared" si="15"/>
        <v>700821.67027027032</v>
      </c>
      <c r="S31" s="13">
        <f t="shared" si="15"/>
        <v>355264.51351351355</v>
      </c>
      <c r="T31" s="13">
        <f t="shared" si="0"/>
        <v>4685602.2905675676</v>
      </c>
    </row>
    <row r="32" spans="1:20" x14ac:dyDescent="0.4">
      <c r="A32" t="s">
        <v>22</v>
      </c>
      <c r="B32">
        <v>2040</v>
      </c>
      <c r="C32" s="13">
        <f t="shared" si="16"/>
        <v>4641384.6147945952</v>
      </c>
      <c r="D32" s="13">
        <f t="shared" si="17"/>
        <v>133956.56174594595</v>
      </c>
      <c r="E32" s="13">
        <f t="shared" si="15"/>
        <v>5850321.9567567566</v>
      </c>
      <c r="F32" s="13">
        <f t="shared" si="15"/>
        <v>145596.00786486489</v>
      </c>
      <c r="G32" s="13">
        <f t="shared" si="15"/>
        <v>56184.091891891898</v>
      </c>
      <c r="H32" s="13">
        <f t="shared" si="15"/>
        <v>18130.275675675675</v>
      </c>
      <c r="I32" s="13">
        <f t="shared" si="15"/>
        <v>5648422.6756756762</v>
      </c>
      <c r="J32" s="13">
        <f t="shared" si="15"/>
        <v>2107124.4810810816</v>
      </c>
      <c r="K32" s="13">
        <f t="shared" si="15"/>
        <v>3541298.1945945946</v>
      </c>
      <c r="L32" s="13">
        <f t="shared" si="15"/>
        <v>18022.502702702703</v>
      </c>
      <c r="M32" s="13">
        <f t="shared" si="15"/>
        <v>18022.502702702703</v>
      </c>
      <c r="N32" s="13">
        <f t="shared" si="15"/>
        <v>107.23243243243243</v>
      </c>
      <c r="O32" s="13">
        <f t="shared" si="15"/>
        <v>1014120.9189189191</v>
      </c>
      <c r="P32" s="13">
        <f t="shared" si="15"/>
        <v>714778.96216216218</v>
      </c>
      <c r="Q32" s="13">
        <f t="shared" si="15"/>
        <v>360203.10810810816</v>
      </c>
      <c r="R32" s="13">
        <f t="shared" si="15"/>
        <v>714778.96216216218</v>
      </c>
      <c r="S32" s="13">
        <f t="shared" si="15"/>
        <v>360203.10810810816</v>
      </c>
      <c r="T32" s="13">
        <f t="shared" si="0"/>
        <v>4775341.1765405415</v>
      </c>
    </row>
    <row r="33" spans="1:20" x14ac:dyDescent="0.4">
      <c r="A33" t="s">
        <v>22</v>
      </c>
      <c r="B33">
        <v>2041</v>
      </c>
      <c r="C33" s="13">
        <f t="shared" si="16"/>
        <v>4728790.2596648652</v>
      </c>
      <c r="D33" s="13">
        <f t="shared" si="17"/>
        <v>136289.80284864866</v>
      </c>
      <c r="E33" s="13">
        <f t="shared" si="15"/>
        <v>5958956.7189189196</v>
      </c>
      <c r="F33" s="13">
        <f t="shared" si="15"/>
        <v>149478.20062162163</v>
      </c>
      <c r="G33" s="13">
        <f t="shared" si="15"/>
        <v>57358.097297297303</v>
      </c>
      <c r="H33" s="13">
        <f t="shared" si="15"/>
        <v>18502.291891891895</v>
      </c>
      <c r="I33" s="13">
        <f t="shared" si="15"/>
        <v>5751901.8918918921</v>
      </c>
      <c r="J33" s="13">
        <f t="shared" si="15"/>
        <v>2154554.6270270273</v>
      </c>
      <c r="K33" s="13">
        <f t="shared" si="15"/>
        <v>3597347.2648648652</v>
      </c>
      <c r="L33" s="13">
        <f t="shared" si="15"/>
        <v>18391.767567567571</v>
      </c>
      <c r="M33" s="13">
        <f t="shared" si="15"/>
        <v>18391.767567567571</v>
      </c>
      <c r="N33" s="13">
        <f t="shared" si="15"/>
        <v>110.01081081081082</v>
      </c>
      <c r="O33" s="13">
        <f t="shared" si="15"/>
        <v>1042285.972972973</v>
      </c>
      <c r="P33" s="13">
        <f t="shared" si="15"/>
        <v>728736.25405405404</v>
      </c>
      <c r="Q33" s="13">
        <f t="shared" si="15"/>
        <v>365141.70270270272</v>
      </c>
      <c r="R33" s="13">
        <f t="shared" si="15"/>
        <v>728736.25405405404</v>
      </c>
      <c r="S33" s="13">
        <f t="shared" si="15"/>
        <v>365141.70270270272</v>
      </c>
      <c r="T33" s="13">
        <f t="shared" si="0"/>
        <v>4865080.0625135135</v>
      </c>
    </row>
    <row r="34" spans="1:20" x14ac:dyDescent="0.4">
      <c r="A34" t="s">
        <v>22</v>
      </c>
      <c r="B34">
        <v>2042</v>
      </c>
      <c r="C34" s="13">
        <f t="shared" si="16"/>
        <v>4816195.9045351353</v>
      </c>
      <c r="D34" s="13">
        <f t="shared" si="17"/>
        <v>138623.04395135137</v>
      </c>
      <c r="E34" s="13">
        <f t="shared" si="15"/>
        <v>6067591.4810810816</v>
      </c>
      <c r="F34" s="13">
        <f t="shared" si="15"/>
        <v>153360.39337837839</v>
      </c>
      <c r="G34" s="13">
        <f t="shared" si="15"/>
        <v>58532.102702702708</v>
      </c>
      <c r="H34" s="13">
        <f t="shared" si="15"/>
        <v>18874.308108108111</v>
      </c>
      <c r="I34" s="13">
        <f t="shared" si="15"/>
        <v>5855381.1081081089</v>
      </c>
      <c r="J34" s="13">
        <f t="shared" ref="E34:S51" si="18">(J$52-J$15)/($B$52-$B$15)*($B34-$B$15)+J$15</f>
        <v>2201984.7729729731</v>
      </c>
      <c r="K34" s="13">
        <f t="shared" si="18"/>
        <v>3653396.3351351353</v>
      </c>
      <c r="L34" s="13">
        <f t="shared" si="18"/>
        <v>18761.032432432432</v>
      </c>
      <c r="M34" s="13">
        <f t="shared" si="18"/>
        <v>18761.032432432432</v>
      </c>
      <c r="N34" s="13">
        <f t="shared" si="18"/>
        <v>112.7891891891892</v>
      </c>
      <c r="O34" s="13">
        <f t="shared" si="18"/>
        <v>1070451.0270270272</v>
      </c>
      <c r="P34" s="13">
        <f t="shared" si="18"/>
        <v>742693.54594594589</v>
      </c>
      <c r="Q34" s="13">
        <f t="shared" si="18"/>
        <v>370080.29729729734</v>
      </c>
      <c r="R34" s="13">
        <f t="shared" si="18"/>
        <v>742693.54594594589</v>
      </c>
      <c r="S34" s="13">
        <f t="shared" si="18"/>
        <v>370080.29729729734</v>
      </c>
      <c r="T34" s="13">
        <f t="shared" ref="T34:T52" si="19">C34+D34</f>
        <v>4954818.9484864864</v>
      </c>
    </row>
    <row r="35" spans="1:20" x14ac:dyDescent="0.4">
      <c r="A35" t="s">
        <v>22</v>
      </c>
      <c r="B35">
        <v>2043</v>
      </c>
      <c r="C35" s="13">
        <f t="shared" si="16"/>
        <v>4903601.5494054053</v>
      </c>
      <c r="D35" s="13">
        <f t="shared" si="17"/>
        <v>140956.28505405405</v>
      </c>
      <c r="E35" s="13">
        <f t="shared" si="18"/>
        <v>6176226.2432432435</v>
      </c>
      <c r="F35" s="13">
        <f t="shared" si="18"/>
        <v>157242.58613513515</v>
      </c>
      <c r="G35" s="13">
        <f t="shared" si="18"/>
        <v>59706.108108108114</v>
      </c>
      <c r="H35" s="13">
        <f t="shared" si="18"/>
        <v>19246.324324324327</v>
      </c>
      <c r="I35" s="13">
        <f t="shared" si="18"/>
        <v>5958860.3243243247</v>
      </c>
      <c r="J35" s="13">
        <f t="shared" si="18"/>
        <v>2249414.9189189193</v>
      </c>
      <c r="K35" s="13">
        <f t="shared" si="18"/>
        <v>3709445.4054054059</v>
      </c>
      <c r="L35" s="13">
        <f t="shared" si="18"/>
        <v>19130.2972972973</v>
      </c>
      <c r="M35" s="13">
        <f t="shared" si="18"/>
        <v>19130.2972972973</v>
      </c>
      <c r="N35" s="13">
        <f t="shared" si="18"/>
        <v>115.56756756756758</v>
      </c>
      <c r="O35" s="13">
        <f t="shared" si="18"/>
        <v>1098616.0810810812</v>
      </c>
      <c r="P35" s="13">
        <f t="shared" si="18"/>
        <v>756650.83783783787</v>
      </c>
      <c r="Q35" s="13">
        <f t="shared" si="18"/>
        <v>375018.89189189195</v>
      </c>
      <c r="R35" s="13">
        <f t="shared" si="18"/>
        <v>756650.83783783787</v>
      </c>
      <c r="S35" s="13">
        <f t="shared" si="18"/>
        <v>375018.89189189195</v>
      </c>
      <c r="T35" s="13">
        <f t="shared" si="19"/>
        <v>5044557.8344594594</v>
      </c>
    </row>
    <row r="36" spans="1:20" x14ac:dyDescent="0.4">
      <c r="A36" t="s">
        <v>22</v>
      </c>
      <c r="B36">
        <v>2044</v>
      </c>
      <c r="C36" s="13">
        <f t="shared" si="16"/>
        <v>4991007.1942756753</v>
      </c>
      <c r="D36" s="13">
        <f t="shared" si="17"/>
        <v>143289.52615675676</v>
      </c>
      <c r="E36" s="13">
        <f t="shared" si="18"/>
        <v>6284861.0054054055</v>
      </c>
      <c r="F36" s="13">
        <f t="shared" si="18"/>
        <v>161124.77889189188</v>
      </c>
      <c r="G36" s="13">
        <f t="shared" si="18"/>
        <v>60880.113513513526</v>
      </c>
      <c r="H36" s="13">
        <f t="shared" si="18"/>
        <v>19618.340540540543</v>
      </c>
      <c r="I36" s="13">
        <f t="shared" si="18"/>
        <v>6062339.5405405406</v>
      </c>
      <c r="J36" s="13">
        <f t="shared" si="18"/>
        <v>2296845.064864865</v>
      </c>
      <c r="K36" s="13">
        <f t="shared" si="18"/>
        <v>3765494.475675676</v>
      </c>
      <c r="L36" s="13">
        <f t="shared" si="18"/>
        <v>19499.562162162165</v>
      </c>
      <c r="M36" s="13">
        <f t="shared" si="18"/>
        <v>19499.562162162165</v>
      </c>
      <c r="N36" s="13">
        <f t="shared" si="18"/>
        <v>118.34594594594596</v>
      </c>
      <c r="O36" s="13">
        <f t="shared" si="18"/>
        <v>1126781.1351351351</v>
      </c>
      <c r="P36" s="13">
        <f t="shared" si="18"/>
        <v>770608.12972972973</v>
      </c>
      <c r="Q36" s="13">
        <f t="shared" si="18"/>
        <v>379957.48648648651</v>
      </c>
      <c r="R36" s="13">
        <f t="shared" si="18"/>
        <v>770608.12972972973</v>
      </c>
      <c r="S36" s="13">
        <f t="shared" si="18"/>
        <v>379957.48648648651</v>
      </c>
      <c r="T36" s="13">
        <f t="shared" si="19"/>
        <v>5134296.7204324324</v>
      </c>
    </row>
    <row r="37" spans="1:20" x14ac:dyDescent="0.4">
      <c r="A37" t="s">
        <v>22</v>
      </c>
      <c r="B37">
        <v>2045</v>
      </c>
      <c r="C37" s="13">
        <f t="shared" si="16"/>
        <v>5078412.8391459463</v>
      </c>
      <c r="D37" s="13">
        <f t="shared" si="17"/>
        <v>145622.76725945948</v>
      </c>
      <c r="E37" s="13">
        <f t="shared" si="18"/>
        <v>6393495.7675675675</v>
      </c>
      <c r="F37" s="13">
        <f t="shared" si="18"/>
        <v>165006.97164864867</v>
      </c>
      <c r="G37" s="13">
        <f t="shared" si="18"/>
        <v>62054.118918918932</v>
      </c>
      <c r="H37" s="13">
        <f t="shared" si="18"/>
        <v>19990.356756756759</v>
      </c>
      <c r="I37" s="13">
        <f t="shared" si="18"/>
        <v>6165818.7567567574</v>
      </c>
      <c r="J37" s="13">
        <f t="shared" si="18"/>
        <v>2344275.2108108113</v>
      </c>
      <c r="K37" s="13">
        <f t="shared" si="18"/>
        <v>3821543.5459459461</v>
      </c>
      <c r="L37" s="13">
        <f t="shared" si="18"/>
        <v>19868.82702702703</v>
      </c>
      <c r="M37" s="13">
        <f t="shared" si="18"/>
        <v>19868.82702702703</v>
      </c>
      <c r="N37" s="13">
        <f t="shared" si="18"/>
        <v>121.12432432432433</v>
      </c>
      <c r="O37" s="13">
        <f t="shared" si="18"/>
        <v>1154946.1891891893</v>
      </c>
      <c r="P37" s="13">
        <f t="shared" si="18"/>
        <v>784565.42162162159</v>
      </c>
      <c r="Q37" s="13">
        <f t="shared" si="18"/>
        <v>384896.08108108112</v>
      </c>
      <c r="R37" s="13">
        <f t="shared" si="18"/>
        <v>784565.42162162159</v>
      </c>
      <c r="S37" s="13">
        <f t="shared" si="18"/>
        <v>384896.08108108112</v>
      </c>
      <c r="T37" s="13">
        <f t="shared" si="19"/>
        <v>5224035.6064054053</v>
      </c>
    </row>
    <row r="38" spans="1:20" x14ac:dyDescent="0.4">
      <c r="A38" t="s">
        <v>22</v>
      </c>
      <c r="B38">
        <v>2046</v>
      </c>
      <c r="C38" s="13">
        <f t="shared" si="16"/>
        <v>5165818.4840162164</v>
      </c>
      <c r="D38" s="13">
        <f t="shared" si="17"/>
        <v>147956.00836216216</v>
      </c>
      <c r="E38" s="13">
        <f t="shared" si="18"/>
        <v>6502130.5297297295</v>
      </c>
      <c r="F38" s="13">
        <f t="shared" si="18"/>
        <v>168889.1644054054</v>
      </c>
      <c r="G38" s="13">
        <f t="shared" si="18"/>
        <v>63228.124324324337</v>
      </c>
      <c r="H38" s="13">
        <f t="shared" si="18"/>
        <v>20362.372972972975</v>
      </c>
      <c r="I38" s="13">
        <f t="shared" si="18"/>
        <v>6269297.9729729742</v>
      </c>
      <c r="J38" s="13">
        <f t="shared" si="18"/>
        <v>2391705.356756757</v>
      </c>
      <c r="K38" s="13">
        <f t="shared" si="18"/>
        <v>3877592.6162162162</v>
      </c>
      <c r="L38" s="13">
        <f t="shared" si="18"/>
        <v>20238.091891891894</v>
      </c>
      <c r="M38" s="13">
        <f t="shared" si="18"/>
        <v>20238.091891891894</v>
      </c>
      <c r="N38" s="13">
        <f t="shared" si="18"/>
        <v>123.90270270270271</v>
      </c>
      <c r="O38" s="13">
        <f t="shared" si="18"/>
        <v>1183111.2432432435</v>
      </c>
      <c r="P38" s="13">
        <f t="shared" si="18"/>
        <v>798522.71351351356</v>
      </c>
      <c r="Q38" s="13">
        <f t="shared" si="18"/>
        <v>389834.67567567574</v>
      </c>
      <c r="R38" s="13">
        <f t="shared" si="18"/>
        <v>798522.71351351356</v>
      </c>
      <c r="S38" s="13">
        <f t="shared" si="18"/>
        <v>389834.67567567574</v>
      </c>
      <c r="T38" s="13">
        <f t="shared" si="19"/>
        <v>5313774.4923783783</v>
      </c>
    </row>
    <row r="39" spans="1:20" x14ac:dyDescent="0.4">
      <c r="A39" t="s">
        <v>22</v>
      </c>
      <c r="B39">
        <v>2047</v>
      </c>
      <c r="C39" s="13">
        <f t="shared" si="16"/>
        <v>5253224.1288864873</v>
      </c>
      <c r="D39" s="13">
        <f t="shared" si="17"/>
        <v>150289.24946486487</v>
      </c>
      <c r="E39" s="13">
        <f t="shared" si="18"/>
        <v>6610765.2918918915</v>
      </c>
      <c r="F39" s="13">
        <f t="shared" si="18"/>
        <v>172771.35716216217</v>
      </c>
      <c r="G39" s="13">
        <f t="shared" si="18"/>
        <v>64402.129729729742</v>
      </c>
      <c r="H39" s="13">
        <f t="shared" si="18"/>
        <v>20734.389189189191</v>
      </c>
      <c r="I39" s="13">
        <f t="shared" si="18"/>
        <v>6372777.18918919</v>
      </c>
      <c r="J39" s="13">
        <f t="shared" si="18"/>
        <v>2439135.5027027028</v>
      </c>
      <c r="K39" s="13">
        <f t="shared" si="18"/>
        <v>3933641.6864864868</v>
      </c>
      <c r="L39" s="13">
        <f t="shared" si="18"/>
        <v>20607.356756756759</v>
      </c>
      <c r="M39" s="13">
        <f t="shared" si="18"/>
        <v>20607.356756756759</v>
      </c>
      <c r="N39" s="13">
        <f t="shared" si="18"/>
        <v>126.68108108108109</v>
      </c>
      <c r="O39" s="13">
        <f t="shared" si="18"/>
        <v>1211276.2972972975</v>
      </c>
      <c r="P39" s="13">
        <f t="shared" si="18"/>
        <v>812480.00540540542</v>
      </c>
      <c r="Q39" s="13">
        <f t="shared" si="18"/>
        <v>394773.2702702703</v>
      </c>
      <c r="R39" s="13">
        <f t="shared" si="18"/>
        <v>812480.00540540542</v>
      </c>
      <c r="S39" s="13">
        <f t="shared" si="18"/>
        <v>394773.2702702703</v>
      </c>
      <c r="T39" s="13">
        <f t="shared" si="19"/>
        <v>5403513.3783513522</v>
      </c>
    </row>
    <row r="40" spans="1:20" x14ac:dyDescent="0.4">
      <c r="A40" t="s">
        <v>22</v>
      </c>
      <c r="B40">
        <v>2048</v>
      </c>
      <c r="C40" s="13">
        <f t="shared" si="16"/>
        <v>5340629.7737567574</v>
      </c>
      <c r="D40" s="13">
        <f t="shared" si="17"/>
        <v>152622.49056756758</v>
      </c>
      <c r="E40" s="13">
        <f t="shared" si="18"/>
        <v>6719400.0540540535</v>
      </c>
      <c r="F40" s="13">
        <f t="shared" si="18"/>
        <v>176653.54991891893</v>
      </c>
      <c r="G40" s="13">
        <f t="shared" si="18"/>
        <v>65576.135135135148</v>
      </c>
      <c r="H40" s="13">
        <f t="shared" si="18"/>
        <v>21106.405405405407</v>
      </c>
      <c r="I40" s="13">
        <f t="shared" si="18"/>
        <v>6476256.4054054059</v>
      </c>
      <c r="J40" s="13">
        <f t="shared" si="18"/>
        <v>2486565.648648649</v>
      </c>
      <c r="K40" s="13">
        <f t="shared" si="18"/>
        <v>3989690.7567567574</v>
      </c>
      <c r="L40" s="13">
        <f t="shared" si="18"/>
        <v>20976.621621621623</v>
      </c>
      <c r="M40" s="13">
        <f t="shared" si="18"/>
        <v>20976.621621621623</v>
      </c>
      <c r="N40" s="13">
        <f t="shared" si="18"/>
        <v>129.45945945945948</v>
      </c>
      <c r="O40" s="13">
        <f t="shared" si="18"/>
        <v>1239441.3513513515</v>
      </c>
      <c r="P40" s="13">
        <f t="shared" si="18"/>
        <v>826437.29729729728</v>
      </c>
      <c r="Q40" s="13">
        <f t="shared" si="18"/>
        <v>399711.86486486491</v>
      </c>
      <c r="R40" s="13">
        <f t="shared" si="18"/>
        <v>826437.29729729728</v>
      </c>
      <c r="S40" s="13">
        <f t="shared" si="18"/>
        <v>399711.86486486491</v>
      </c>
      <c r="T40" s="13">
        <f t="shared" si="19"/>
        <v>5493252.2643243251</v>
      </c>
    </row>
    <row r="41" spans="1:20" x14ac:dyDescent="0.4">
      <c r="A41" t="s">
        <v>22</v>
      </c>
      <c r="B41">
        <v>2049</v>
      </c>
      <c r="C41" s="13">
        <f t="shared" si="16"/>
        <v>5428035.4186270274</v>
      </c>
      <c r="D41" s="13">
        <f t="shared" si="17"/>
        <v>154955.73167027027</v>
      </c>
      <c r="E41" s="13">
        <f t="shared" si="18"/>
        <v>6828034.8162162164</v>
      </c>
      <c r="F41" s="13">
        <f t="shared" si="18"/>
        <v>180535.74267567569</v>
      </c>
      <c r="G41" s="13">
        <f t="shared" si="18"/>
        <v>66750.140540540553</v>
      </c>
      <c r="H41" s="13">
        <f t="shared" si="18"/>
        <v>21478.421621621623</v>
      </c>
      <c r="I41" s="13">
        <f t="shared" si="18"/>
        <v>6579735.6216216218</v>
      </c>
      <c r="J41" s="13">
        <f t="shared" si="18"/>
        <v>2533995.7945945952</v>
      </c>
      <c r="K41" s="13">
        <f t="shared" si="18"/>
        <v>4045739.8270270275</v>
      </c>
      <c r="L41" s="13">
        <f t="shared" si="18"/>
        <v>21345.886486486488</v>
      </c>
      <c r="M41" s="13">
        <f t="shared" si="18"/>
        <v>21345.886486486488</v>
      </c>
      <c r="N41" s="13">
        <f t="shared" si="18"/>
        <v>132.23783783783784</v>
      </c>
      <c r="O41" s="13">
        <f t="shared" si="18"/>
        <v>1267606.4054054054</v>
      </c>
      <c r="P41" s="13">
        <f t="shared" si="18"/>
        <v>840394.58918918925</v>
      </c>
      <c r="Q41" s="13">
        <f t="shared" si="18"/>
        <v>404650.45945945953</v>
      </c>
      <c r="R41" s="13">
        <f t="shared" si="18"/>
        <v>840394.58918918925</v>
      </c>
      <c r="S41" s="13">
        <f t="shared" si="18"/>
        <v>404650.45945945953</v>
      </c>
      <c r="T41" s="13">
        <f t="shared" si="19"/>
        <v>5582991.1502972981</v>
      </c>
    </row>
    <row r="42" spans="1:20" x14ac:dyDescent="0.4">
      <c r="A42" t="s">
        <v>22</v>
      </c>
      <c r="B42">
        <v>2050</v>
      </c>
      <c r="C42" s="13">
        <f t="shared" si="16"/>
        <v>5515441.0634972975</v>
      </c>
      <c r="D42" s="13">
        <f t="shared" si="17"/>
        <v>157288.97277297298</v>
      </c>
      <c r="E42" s="13">
        <f t="shared" si="18"/>
        <v>6936669.5783783784</v>
      </c>
      <c r="F42" s="13">
        <f t="shared" si="18"/>
        <v>184417.93543243245</v>
      </c>
      <c r="G42" s="13">
        <f t="shared" si="18"/>
        <v>67924.145945945958</v>
      </c>
      <c r="H42" s="13">
        <f t="shared" si="18"/>
        <v>21850.437837837839</v>
      </c>
      <c r="I42" s="13">
        <f t="shared" si="18"/>
        <v>6683214.8378378386</v>
      </c>
      <c r="J42" s="13">
        <f t="shared" si="18"/>
        <v>2581425.940540541</v>
      </c>
      <c r="K42" s="13">
        <f t="shared" si="18"/>
        <v>4101788.8972972976</v>
      </c>
      <c r="L42" s="13">
        <f t="shared" si="18"/>
        <v>21715.151351351353</v>
      </c>
      <c r="M42" s="13">
        <f t="shared" si="18"/>
        <v>21715.151351351353</v>
      </c>
      <c r="N42" s="13">
        <f t="shared" si="18"/>
        <v>135.01621621621624</v>
      </c>
      <c r="O42" s="13">
        <f t="shared" si="18"/>
        <v>1295771.4594594596</v>
      </c>
      <c r="P42" s="13">
        <f t="shared" si="18"/>
        <v>854351.88108108111</v>
      </c>
      <c r="Q42" s="13">
        <f t="shared" si="18"/>
        <v>409589.05405405408</v>
      </c>
      <c r="R42" s="13">
        <f t="shared" si="18"/>
        <v>854351.88108108111</v>
      </c>
      <c r="S42" s="13">
        <f t="shared" si="18"/>
        <v>409589.05405405408</v>
      </c>
      <c r="T42" s="13">
        <f t="shared" si="19"/>
        <v>5672730.0362702701</v>
      </c>
    </row>
    <row r="43" spans="1:20" x14ac:dyDescent="0.4">
      <c r="A43" t="s">
        <v>22</v>
      </c>
      <c r="B43">
        <v>2051</v>
      </c>
      <c r="C43" s="13">
        <f t="shared" si="16"/>
        <v>5602846.7083675675</v>
      </c>
      <c r="D43" s="13">
        <f t="shared" si="17"/>
        <v>159622.21387567569</v>
      </c>
      <c r="E43" s="13">
        <f t="shared" si="18"/>
        <v>7045304.3405405404</v>
      </c>
      <c r="F43" s="13">
        <f t="shared" si="18"/>
        <v>188300.12818918918</v>
      </c>
      <c r="G43" s="13">
        <f t="shared" si="18"/>
        <v>69098.151351351364</v>
      </c>
      <c r="H43" s="13">
        <f t="shared" si="18"/>
        <v>22222.454054054055</v>
      </c>
      <c r="I43" s="13">
        <f t="shared" si="18"/>
        <v>6786694.0540540554</v>
      </c>
      <c r="J43" s="13">
        <f t="shared" si="18"/>
        <v>2628856.0864864867</v>
      </c>
      <c r="K43" s="13">
        <f t="shared" si="18"/>
        <v>4157837.9675675677</v>
      </c>
      <c r="L43" s="13">
        <f t="shared" si="18"/>
        <v>22084.416216216217</v>
      </c>
      <c r="M43" s="13">
        <f t="shared" si="18"/>
        <v>22084.416216216217</v>
      </c>
      <c r="N43" s="13">
        <f t="shared" si="18"/>
        <v>137.79459459459463</v>
      </c>
      <c r="O43" s="13">
        <f t="shared" si="18"/>
        <v>1323936.5135135138</v>
      </c>
      <c r="P43" s="13">
        <f t="shared" si="18"/>
        <v>868309.17297297297</v>
      </c>
      <c r="Q43" s="13">
        <f t="shared" si="18"/>
        <v>414527.6486486487</v>
      </c>
      <c r="R43" s="13">
        <f t="shared" si="18"/>
        <v>868309.17297297297</v>
      </c>
      <c r="S43" s="13">
        <f t="shared" si="18"/>
        <v>414527.6486486487</v>
      </c>
      <c r="T43" s="13">
        <f t="shared" si="19"/>
        <v>5762468.9222432431</v>
      </c>
    </row>
    <row r="44" spans="1:20" x14ac:dyDescent="0.4">
      <c r="A44" t="s">
        <v>22</v>
      </c>
      <c r="B44">
        <v>2052</v>
      </c>
      <c r="C44" s="13">
        <f t="shared" si="16"/>
        <v>5690252.3532378376</v>
      </c>
      <c r="D44" s="13">
        <f t="shared" si="17"/>
        <v>161955.45497837837</v>
      </c>
      <c r="E44" s="13">
        <f t="shared" si="18"/>
        <v>7153939.1027027033</v>
      </c>
      <c r="F44" s="13">
        <f t="shared" si="18"/>
        <v>192182.32094594598</v>
      </c>
      <c r="G44" s="13">
        <f t="shared" si="18"/>
        <v>70272.156756756769</v>
      </c>
      <c r="H44" s="13">
        <f t="shared" si="18"/>
        <v>22594.470270270271</v>
      </c>
      <c r="I44" s="13">
        <f t="shared" si="18"/>
        <v>6890173.2702702712</v>
      </c>
      <c r="J44" s="13">
        <f t="shared" si="18"/>
        <v>2676286.2324324325</v>
      </c>
      <c r="K44" s="13">
        <f t="shared" si="18"/>
        <v>4213887.0378378388</v>
      </c>
      <c r="L44" s="13">
        <f t="shared" si="18"/>
        <v>22453.681081081086</v>
      </c>
      <c r="M44" s="13">
        <f t="shared" si="18"/>
        <v>22453.681081081086</v>
      </c>
      <c r="N44" s="13">
        <f t="shared" si="18"/>
        <v>140.57297297297299</v>
      </c>
      <c r="O44" s="13">
        <f t="shared" si="18"/>
        <v>1352101.5675675678</v>
      </c>
      <c r="P44" s="13">
        <f t="shared" si="18"/>
        <v>882266.46486486495</v>
      </c>
      <c r="Q44" s="13">
        <f t="shared" si="18"/>
        <v>419466.24324324331</v>
      </c>
      <c r="R44" s="13">
        <f t="shared" si="18"/>
        <v>882266.46486486495</v>
      </c>
      <c r="S44" s="13">
        <f t="shared" si="18"/>
        <v>419466.24324324331</v>
      </c>
      <c r="T44" s="13">
        <f t="shared" si="19"/>
        <v>5852207.808216216</v>
      </c>
    </row>
    <row r="45" spans="1:20" x14ac:dyDescent="0.4">
      <c r="A45" t="s">
        <v>22</v>
      </c>
      <c r="B45">
        <v>2053</v>
      </c>
      <c r="C45" s="13">
        <f t="shared" si="16"/>
        <v>5777657.9981081085</v>
      </c>
      <c r="D45" s="13">
        <f t="shared" si="17"/>
        <v>164288.69608108109</v>
      </c>
      <c r="E45" s="13">
        <f t="shared" si="18"/>
        <v>7262573.8648648653</v>
      </c>
      <c r="F45" s="13">
        <f t="shared" si="18"/>
        <v>196064.51370270271</v>
      </c>
      <c r="G45" s="13">
        <f t="shared" si="18"/>
        <v>71446.162162162174</v>
      </c>
      <c r="H45" s="13">
        <f t="shared" si="18"/>
        <v>22966.486486486487</v>
      </c>
      <c r="I45" s="13">
        <f t="shared" si="18"/>
        <v>6993652.4864864871</v>
      </c>
      <c r="J45" s="13">
        <f t="shared" si="18"/>
        <v>2723716.3783783787</v>
      </c>
      <c r="K45" s="13">
        <f t="shared" si="18"/>
        <v>4269936.1081081089</v>
      </c>
      <c r="L45" s="13">
        <f t="shared" si="18"/>
        <v>22822.945945945947</v>
      </c>
      <c r="M45" s="13">
        <f t="shared" si="18"/>
        <v>22822.945945945947</v>
      </c>
      <c r="N45" s="13">
        <f t="shared" si="18"/>
        <v>143.35135135135135</v>
      </c>
      <c r="O45" s="13">
        <f t="shared" si="18"/>
        <v>1380266.6216216218</v>
      </c>
      <c r="P45" s="13">
        <f t="shared" si="18"/>
        <v>896223.7567567568</v>
      </c>
      <c r="Q45" s="13">
        <f t="shared" si="18"/>
        <v>424404.83783783787</v>
      </c>
      <c r="R45" s="13">
        <f t="shared" si="18"/>
        <v>896223.7567567568</v>
      </c>
      <c r="S45" s="13">
        <f t="shared" si="18"/>
        <v>424404.83783783787</v>
      </c>
      <c r="T45" s="13">
        <f t="shared" si="19"/>
        <v>5941946.6941891899</v>
      </c>
    </row>
    <row r="46" spans="1:20" x14ac:dyDescent="0.4">
      <c r="A46" t="s">
        <v>22</v>
      </c>
      <c r="B46">
        <v>2054</v>
      </c>
      <c r="C46" s="13">
        <f t="shared" si="16"/>
        <v>5865063.6429783786</v>
      </c>
      <c r="D46" s="13">
        <f t="shared" si="17"/>
        <v>166621.9371837838</v>
      </c>
      <c r="E46" s="13">
        <f t="shared" si="18"/>
        <v>7371208.6270270273</v>
      </c>
      <c r="F46" s="13">
        <f t="shared" si="18"/>
        <v>199946.70645945947</v>
      </c>
      <c r="G46" s="13">
        <f t="shared" si="18"/>
        <v>72620.16756756758</v>
      </c>
      <c r="H46" s="13">
        <f t="shared" si="18"/>
        <v>23338.502702702703</v>
      </c>
      <c r="I46" s="13">
        <f t="shared" si="18"/>
        <v>7097131.702702703</v>
      </c>
      <c r="J46" s="13">
        <f t="shared" si="18"/>
        <v>2771146.5243243249</v>
      </c>
      <c r="K46" s="13">
        <f t="shared" si="18"/>
        <v>4325985.178378379</v>
      </c>
      <c r="L46" s="13">
        <f t="shared" si="18"/>
        <v>23192.210810810815</v>
      </c>
      <c r="M46" s="13">
        <f t="shared" si="18"/>
        <v>23192.210810810815</v>
      </c>
      <c r="N46" s="13">
        <f t="shared" si="18"/>
        <v>146.12972972972975</v>
      </c>
      <c r="O46" s="13">
        <f t="shared" si="18"/>
        <v>1408431.6756756757</v>
      </c>
      <c r="P46" s="13">
        <f t="shared" si="18"/>
        <v>910181.04864864866</v>
      </c>
      <c r="Q46" s="13">
        <f t="shared" si="18"/>
        <v>429343.43243243248</v>
      </c>
      <c r="R46" s="13">
        <f t="shared" si="18"/>
        <v>910181.04864864866</v>
      </c>
      <c r="S46" s="13">
        <f t="shared" si="18"/>
        <v>429343.43243243248</v>
      </c>
      <c r="T46" s="13">
        <f t="shared" si="19"/>
        <v>6031685.580162162</v>
      </c>
    </row>
    <row r="47" spans="1:20" x14ac:dyDescent="0.4">
      <c r="A47" t="s">
        <v>22</v>
      </c>
      <c r="B47">
        <v>2055</v>
      </c>
      <c r="C47" s="13">
        <f t="shared" si="16"/>
        <v>5952469.2878486495</v>
      </c>
      <c r="D47" s="13">
        <f t="shared" si="17"/>
        <v>168955.17828648648</v>
      </c>
      <c r="E47" s="13">
        <f t="shared" si="18"/>
        <v>7479843.3891891893</v>
      </c>
      <c r="F47" s="13">
        <f t="shared" si="18"/>
        <v>203828.89921621623</v>
      </c>
      <c r="G47" s="13">
        <f t="shared" si="18"/>
        <v>73794.172972972985</v>
      </c>
      <c r="H47" s="13">
        <f t="shared" si="18"/>
        <v>23710.518918918919</v>
      </c>
      <c r="I47" s="13">
        <f t="shared" si="18"/>
        <v>7200610.9189189197</v>
      </c>
      <c r="J47" s="13">
        <f t="shared" si="18"/>
        <v>2818576.6702702707</v>
      </c>
      <c r="K47" s="13">
        <f t="shared" si="18"/>
        <v>4382034.2486486491</v>
      </c>
      <c r="L47" s="13">
        <f t="shared" si="18"/>
        <v>23561.475675675676</v>
      </c>
      <c r="M47" s="13">
        <f t="shared" si="18"/>
        <v>23561.475675675676</v>
      </c>
      <c r="N47" s="13">
        <f t="shared" si="18"/>
        <v>148.90810810810814</v>
      </c>
      <c r="O47" s="13">
        <f t="shared" si="18"/>
        <v>1436596.7297297299</v>
      </c>
      <c r="P47" s="13">
        <f t="shared" si="18"/>
        <v>924138.34054054064</v>
      </c>
      <c r="Q47" s="13">
        <f t="shared" si="18"/>
        <v>434282.0270270271</v>
      </c>
      <c r="R47" s="13">
        <f t="shared" si="18"/>
        <v>924138.34054054064</v>
      </c>
      <c r="S47" s="13">
        <f t="shared" si="18"/>
        <v>434282.0270270271</v>
      </c>
      <c r="T47" s="13">
        <f t="shared" si="19"/>
        <v>6121424.4661351359</v>
      </c>
    </row>
    <row r="48" spans="1:20" x14ac:dyDescent="0.4">
      <c r="A48" t="s">
        <v>22</v>
      </c>
      <c r="B48">
        <v>2056</v>
      </c>
      <c r="C48" s="13">
        <f t="shared" si="16"/>
        <v>6039874.9327189196</v>
      </c>
      <c r="D48" s="13">
        <f t="shared" si="17"/>
        <v>171288.41938918919</v>
      </c>
      <c r="E48" s="13">
        <f t="shared" si="18"/>
        <v>7588478.1513513513</v>
      </c>
      <c r="F48" s="13">
        <f t="shared" si="18"/>
        <v>207711.09197297299</v>
      </c>
      <c r="G48" s="13">
        <f t="shared" si="18"/>
        <v>74968.17837837839</v>
      </c>
      <c r="H48" s="13">
        <f t="shared" si="18"/>
        <v>24082.535135135135</v>
      </c>
      <c r="I48" s="13">
        <f t="shared" si="18"/>
        <v>7304090.1351351365</v>
      </c>
      <c r="J48" s="13">
        <f t="shared" si="18"/>
        <v>2866006.8162162164</v>
      </c>
      <c r="K48" s="13">
        <f t="shared" si="18"/>
        <v>4438083.3189189192</v>
      </c>
      <c r="L48" s="13">
        <f t="shared" si="18"/>
        <v>23930.740540540544</v>
      </c>
      <c r="M48" s="13">
        <f t="shared" si="18"/>
        <v>23930.740540540544</v>
      </c>
      <c r="N48" s="13">
        <f t="shared" si="18"/>
        <v>151.6864864864865</v>
      </c>
      <c r="O48" s="13">
        <f t="shared" si="18"/>
        <v>1464761.7837837841</v>
      </c>
      <c r="P48" s="13">
        <f t="shared" si="18"/>
        <v>938095.6324324325</v>
      </c>
      <c r="Q48" s="13">
        <f t="shared" si="18"/>
        <v>439220.62162162166</v>
      </c>
      <c r="R48" s="13">
        <f t="shared" si="18"/>
        <v>938095.6324324325</v>
      </c>
      <c r="S48" s="13">
        <f t="shared" si="18"/>
        <v>439220.62162162166</v>
      </c>
      <c r="T48" s="13">
        <f t="shared" si="19"/>
        <v>6211163.3521081088</v>
      </c>
    </row>
    <row r="49" spans="1:20" x14ac:dyDescent="0.4">
      <c r="A49" t="s">
        <v>22</v>
      </c>
      <c r="B49">
        <v>2057</v>
      </c>
      <c r="C49" s="13">
        <f t="shared" si="16"/>
        <v>6127280.5775891896</v>
      </c>
      <c r="D49" s="13">
        <f t="shared" si="17"/>
        <v>173621.6604918919</v>
      </c>
      <c r="E49" s="13">
        <f t="shared" si="18"/>
        <v>7697112.9135135133</v>
      </c>
      <c r="F49" s="13">
        <f t="shared" si="18"/>
        <v>211593.28472972976</v>
      </c>
      <c r="G49" s="13">
        <f t="shared" si="18"/>
        <v>76142.183783783796</v>
      </c>
      <c r="H49" s="13">
        <f t="shared" si="18"/>
        <v>24454.551351351351</v>
      </c>
      <c r="I49" s="13">
        <f t="shared" si="18"/>
        <v>7407569.3513513524</v>
      </c>
      <c r="J49" s="13">
        <f t="shared" si="18"/>
        <v>2913436.9621621626</v>
      </c>
      <c r="K49" s="13">
        <f t="shared" si="18"/>
        <v>4494132.3891891893</v>
      </c>
      <c r="L49" s="13">
        <f t="shared" si="18"/>
        <v>24300.005405405405</v>
      </c>
      <c r="M49" s="13">
        <f t="shared" si="18"/>
        <v>24300.005405405405</v>
      </c>
      <c r="N49" s="13">
        <f t="shared" si="18"/>
        <v>154.46486486486486</v>
      </c>
      <c r="O49" s="13">
        <f t="shared" si="18"/>
        <v>1492926.8378378381</v>
      </c>
      <c r="P49" s="13">
        <f t="shared" si="18"/>
        <v>952052.92432432435</v>
      </c>
      <c r="Q49" s="13">
        <f t="shared" si="18"/>
        <v>444159.21621621627</v>
      </c>
      <c r="R49" s="13">
        <f t="shared" si="18"/>
        <v>952052.92432432435</v>
      </c>
      <c r="S49" s="13">
        <f t="shared" si="18"/>
        <v>444159.21621621627</v>
      </c>
      <c r="T49" s="13">
        <f t="shared" si="19"/>
        <v>6300902.2380810818</v>
      </c>
    </row>
    <row r="50" spans="1:20" x14ac:dyDescent="0.4">
      <c r="A50" t="s">
        <v>22</v>
      </c>
      <c r="B50">
        <v>2058</v>
      </c>
      <c r="C50" s="13">
        <f t="shared" si="16"/>
        <v>6214686.2224594597</v>
      </c>
      <c r="D50" s="13">
        <f t="shared" si="17"/>
        <v>175954.90159459459</v>
      </c>
      <c r="E50" s="13">
        <f t="shared" si="18"/>
        <v>7805747.6756756753</v>
      </c>
      <c r="F50" s="13">
        <f t="shared" si="18"/>
        <v>215475.47748648652</v>
      </c>
      <c r="G50" s="13">
        <f t="shared" si="18"/>
        <v>77316.189189189201</v>
      </c>
      <c r="H50" s="13">
        <f t="shared" si="18"/>
        <v>24826.567567567567</v>
      </c>
      <c r="I50" s="13">
        <f t="shared" si="18"/>
        <v>7511048.5675675683</v>
      </c>
      <c r="J50" s="13">
        <f t="shared" si="18"/>
        <v>2960867.1081081089</v>
      </c>
      <c r="K50" s="13">
        <f t="shared" si="18"/>
        <v>4550181.4594594594</v>
      </c>
      <c r="L50" s="13">
        <f t="shared" si="18"/>
        <v>24669.270270270274</v>
      </c>
      <c r="M50" s="13">
        <f t="shared" si="18"/>
        <v>24669.270270270274</v>
      </c>
      <c r="N50" s="13">
        <f t="shared" si="18"/>
        <v>157.24324324324326</v>
      </c>
      <c r="O50" s="13">
        <f t="shared" si="18"/>
        <v>1521091.8918918921</v>
      </c>
      <c r="P50" s="13">
        <f t="shared" si="18"/>
        <v>966010.21621621633</v>
      </c>
      <c r="Q50" s="13">
        <f t="shared" si="18"/>
        <v>449097.81081081089</v>
      </c>
      <c r="R50" s="13">
        <f t="shared" si="18"/>
        <v>966010.21621621633</v>
      </c>
      <c r="S50" s="13">
        <f t="shared" si="18"/>
        <v>449097.81081081089</v>
      </c>
      <c r="T50" s="13">
        <f t="shared" si="19"/>
        <v>6390641.1240540538</v>
      </c>
    </row>
    <row r="51" spans="1:20" x14ac:dyDescent="0.4">
      <c r="A51" t="s">
        <v>22</v>
      </c>
      <c r="B51">
        <v>2059</v>
      </c>
      <c r="C51" s="13">
        <f t="shared" si="16"/>
        <v>6302091.8673297297</v>
      </c>
      <c r="D51" s="13">
        <f t="shared" si="17"/>
        <v>178288.14269729733</v>
      </c>
      <c r="E51" s="13">
        <f t="shared" si="18"/>
        <v>7914382.4378378382</v>
      </c>
      <c r="F51" s="13">
        <f t="shared" si="18"/>
        <v>219357.67024324325</v>
      </c>
      <c r="G51" s="13">
        <f t="shared" si="18"/>
        <v>78490.194594594606</v>
      </c>
      <c r="H51" s="13">
        <f t="shared" si="18"/>
        <v>25198.583783783786</v>
      </c>
      <c r="I51" s="13">
        <f t="shared" si="18"/>
        <v>7614527.7837837841</v>
      </c>
      <c r="J51" s="13">
        <f t="shared" ref="J51:S51" si="20">(J$52-J$15)/($B$52-$B$15)*($B51-$B$15)+J$15</f>
        <v>3008297.2540540546</v>
      </c>
      <c r="K51" s="13">
        <f t="shared" si="20"/>
        <v>4606230.5297297304</v>
      </c>
      <c r="L51" s="13">
        <f t="shared" si="20"/>
        <v>25038.535135135138</v>
      </c>
      <c r="M51" s="13">
        <f t="shared" si="20"/>
        <v>25038.535135135138</v>
      </c>
      <c r="N51" s="13">
        <f t="shared" si="20"/>
        <v>160.02162162162165</v>
      </c>
      <c r="O51" s="13">
        <f t="shared" si="20"/>
        <v>1549256.945945946</v>
      </c>
      <c r="P51" s="13">
        <f t="shared" si="20"/>
        <v>979967.50810810807</v>
      </c>
      <c r="Q51" s="13">
        <f t="shared" si="20"/>
        <v>454036.40540540544</v>
      </c>
      <c r="R51" s="13">
        <f t="shared" si="20"/>
        <v>979967.50810810807</v>
      </c>
      <c r="S51" s="13">
        <f t="shared" si="20"/>
        <v>454036.40540540544</v>
      </c>
      <c r="T51" s="13">
        <f t="shared" si="19"/>
        <v>6480380.0100270268</v>
      </c>
    </row>
    <row r="52" spans="1:20" x14ac:dyDescent="0.4">
      <c r="A52" t="s">
        <v>22</v>
      </c>
      <c r="B52">
        <v>2060</v>
      </c>
      <c r="C52" s="13">
        <f>C7*2.2</f>
        <v>6389497.5122000007</v>
      </c>
      <c r="D52" s="13">
        <f t="shared" ref="D52:S52" si="21">D7*2.2</f>
        <v>180621.38380000001</v>
      </c>
      <c r="E52" s="13">
        <f t="shared" si="21"/>
        <v>8023017.2000000002</v>
      </c>
      <c r="F52" s="13">
        <f t="shared" si="21"/>
        <v>223239.86300000001</v>
      </c>
      <c r="G52" s="13">
        <f t="shared" si="21"/>
        <v>79664.200000000012</v>
      </c>
      <c r="H52" s="13">
        <f t="shared" si="21"/>
        <v>25570.600000000002</v>
      </c>
      <c r="I52" s="13">
        <f t="shared" si="21"/>
        <v>7718007.0000000009</v>
      </c>
      <c r="J52" s="13">
        <f t="shared" si="21"/>
        <v>3055727.4000000004</v>
      </c>
      <c r="K52" s="13">
        <f t="shared" si="21"/>
        <v>4662279.6000000006</v>
      </c>
      <c r="L52" s="13">
        <f t="shared" si="21"/>
        <v>25407.800000000003</v>
      </c>
      <c r="M52" s="13">
        <f t="shared" si="21"/>
        <v>25407.800000000003</v>
      </c>
      <c r="N52" s="13">
        <f t="shared" si="21"/>
        <v>162.80000000000001</v>
      </c>
      <c r="O52" s="13">
        <f t="shared" si="21"/>
        <v>1577422.0000000002</v>
      </c>
      <c r="P52" s="13">
        <f t="shared" si="21"/>
        <v>993924.8</v>
      </c>
      <c r="Q52" s="13">
        <f t="shared" si="21"/>
        <v>458975.00000000006</v>
      </c>
      <c r="R52" s="13">
        <f t="shared" si="21"/>
        <v>993924.8</v>
      </c>
      <c r="S52" s="13">
        <f t="shared" si="21"/>
        <v>458975.00000000006</v>
      </c>
      <c r="T52" s="13">
        <f t="shared" si="19"/>
        <v>6570118.8960000006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2"/>
  <sheetViews>
    <sheetView tabSelected="1" zoomScale="63" workbookViewId="0">
      <selection activeCell="H14" sqref="H14"/>
    </sheetView>
  </sheetViews>
  <sheetFormatPr defaultRowHeight="14.6" x14ac:dyDescent="0.4"/>
  <cols>
    <col min="3" max="3" width="12.3046875" bestFit="1" customWidth="1"/>
    <col min="4" max="4" width="13.3828125" bestFit="1" customWidth="1"/>
    <col min="5" max="5" width="11.15234375" bestFit="1" customWidth="1"/>
    <col min="6" max="6" width="12.3046875" bestFit="1" customWidth="1"/>
    <col min="7" max="7" width="9.3828125" bestFit="1" customWidth="1"/>
    <col min="8" max="8" width="11.15234375" bestFit="1" customWidth="1"/>
    <col min="9" max="9" width="9.3828125" bestFit="1" customWidth="1"/>
    <col min="10" max="10" width="10" bestFit="1" customWidth="1"/>
    <col min="11" max="11" width="9.53515625" bestFit="1" customWidth="1"/>
    <col min="12" max="12" width="9.3828125" bestFit="1" customWidth="1"/>
    <col min="13" max="13" width="10.3046875" bestFit="1" customWidth="1"/>
    <col min="14" max="14" width="10" bestFit="1" customWidth="1"/>
    <col min="15" max="15" width="9.3828125" bestFit="1" customWidth="1"/>
    <col min="16" max="16" width="10" bestFit="1" customWidth="1"/>
    <col min="17" max="19" width="9.3828125" bestFit="1" customWidth="1"/>
  </cols>
  <sheetData>
    <row r="1" spans="1: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">
      <c r="A2" t="s">
        <v>23</v>
      </c>
      <c r="B2">
        <v>2010</v>
      </c>
      <c r="C2" s="3">
        <v>692196.95499999996</v>
      </c>
      <c r="D2" s="3">
        <v>1055930.1170000001</v>
      </c>
      <c r="E2" s="3">
        <v>1775313</v>
      </c>
      <c r="F2" s="3">
        <v>196862.94</v>
      </c>
      <c r="G2" s="3">
        <v>0</v>
      </c>
      <c r="H2" s="3">
        <v>1495566</v>
      </c>
      <c r="I2" s="3">
        <v>101630</v>
      </c>
      <c r="J2" s="3">
        <v>68050</v>
      </c>
      <c r="K2" s="3">
        <v>33579</v>
      </c>
      <c r="L2" s="3">
        <v>18699</v>
      </c>
      <c r="M2" s="3">
        <v>1495566</v>
      </c>
      <c r="N2" s="3">
        <v>0</v>
      </c>
      <c r="O2" s="3">
        <v>22166</v>
      </c>
      <c r="P2" s="3">
        <v>26546</v>
      </c>
      <c r="Q2" s="3">
        <v>640</v>
      </c>
      <c r="R2" s="3">
        <v>26546</v>
      </c>
      <c r="S2" s="3">
        <v>640</v>
      </c>
    </row>
    <row r="3" spans="1:19" x14ac:dyDescent="0.4">
      <c r="A3" t="s">
        <v>23</v>
      </c>
      <c r="B3">
        <v>2011</v>
      </c>
      <c r="C3" s="3">
        <v>711734.402</v>
      </c>
      <c r="D3" s="3">
        <v>1056692.689</v>
      </c>
      <c r="E3" s="3">
        <v>1796078</v>
      </c>
      <c r="F3" s="3">
        <v>199257.16500000001</v>
      </c>
      <c r="G3" s="3">
        <v>0</v>
      </c>
      <c r="H3" s="3">
        <v>1511702</v>
      </c>
      <c r="I3" s="3">
        <v>103984</v>
      </c>
      <c r="J3" s="3">
        <v>66164</v>
      </c>
      <c r="K3" s="3">
        <v>37820</v>
      </c>
      <c r="L3" s="3">
        <v>18936</v>
      </c>
      <c r="M3" s="3">
        <v>1511702</v>
      </c>
      <c r="N3" s="3">
        <v>0</v>
      </c>
      <c r="O3" s="3">
        <v>19577</v>
      </c>
      <c r="P3" s="3">
        <v>26971</v>
      </c>
      <c r="Q3" s="3">
        <v>680</v>
      </c>
      <c r="R3" s="3">
        <v>26971</v>
      </c>
      <c r="S3" s="3">
        <v>680</v>
      </c>
    </row>
    <row r="4" spans="1:19" x14ac:dyDescent="0.4">
      <c r="A4" t="s">
        <v>23</v>
      </c>
      <c r="B4">
        <v>2012</v>
      </c>
      <c r="C4" s="3">
        <v>707828.88399999996</v>
      </c>
      <c r="D4" s="3">
        <v>1051840.7120000001</v>
      </c>
      <c r="E4" s="3">
        <v>1787786</v>
      </c>
      <c r="F4" s="3">
        <v>224387.32399999999</v>
      </c>
      <c r="G4" s="3">
        <v>0</v>
      </c>
      <c r="H4" s="3">
        <v>1483642</v>
      </c>
      <c r="I4" s="3">
        <v>97887</v>
      </c>
      <c r="J4" s="3">
        <v>64278</v>
      </c>
      <c r="K4" s="3">
        <v>33609</v>
      </c>
      <c r="L4" s="3">
        <v>19174</v>
      </c>
      <c r="M4" s="3">
        <v>1483642</v>
      </c>
      <c r="N4" s="3">
        <v>0</v>
      </c>
      <c r="O4" s="3">
        <v>16988</v>
      </c>
      <c r="P4" s="3">
        <v>27397</v>
      </c>
      <c r="Q4" s="3">
        <v>720</v>
      </c>
      <c r="R4" s="3">
        <v>27397</v>
      </c>
      <c r="S4" s="3">
        <v>720</v>
      </c>
    </row>
    <row r="5" spans="1:19" x14ac:dyDescent="0.4">
      <c r="A5" t="s">
        <v>23</v>
      </c>
      <c r="B5">
        <v>2013</v>
      </c>
      <c r="C5" s="3">
        <v>680172.28700000001</v>
      </c>
      <c r="D5" s="3">
        <v>1019611.01</v>
      </c>
      <c r="E5" s="3">
        <v>1728972</v>
      </c>
      <c r="F5" s="3">
        <v>231303.177</v>
      </c>
      <c r="G5" s="3">
        <v>0</v>
      </c>
      <c r="H5" s="3">
        <v>1424522</v>
      </c>
      <c r="I5" s="3">
        <v>92051</v>
      </c>
      <c r="J5" s="3">
        <v>64219</v>
      </c>
      <c r="K5" s="3">
        <v>27832</v>
      </c>
      <c r="L5" s="3">
        <v>19290</v>
      </c>
      <c r="M5" s="3">
        <v>1424522</v>
      </c>
      <c r="N5" s="3">
        <v>0</v>
      </c>
      <c r="O5" s="3">
        <v>15741</v>
      </c>
      <c r="P5" s="3">
        <v>28490</v>
      </c>
      <c r="Q5" s="3">
        <v>698</v>
      </c>
      <c r="R5" s="3">
        <v>28490</v>
      </c>
      <c r="S5" s="3">
        <v>698</v>
      </c>
    </row>
    <row r="6" spans="1:19" x14ac:dyDescent="0.4">
      <c r="A6" t="s">
        <v>23</v>
      </c>
      <c r="B6">
        <v>2014</v>
      </c>
      <c r="C6" s="3">
        <v>646136.12300000002</v>
      </c>
      <c r="D6" s="3">
        <v>1013099.481</v>
      </c>
      <c r="E6" s="3">
        <v>1689495</v>
      </c>
      <c r="F6" s="3">
        <v>226701.49799999999</v>
      </c>
      <c r="G6" s="3">
        <v>0</v>
      </c>
      <c r="H6" s="3">
        <v>1386450</v>
      </c>
      <c r="I6" s="3">
        <v>95228</v>
      </c>
      <c r="J6" s="3">
        <v>64130</v>
      </c>
      <c r="K6" s="3">
        <v>31098</v>
      </c>
      <c r="L6" s="3">
        <v>19377</v>
      </c>
      <c r="M6" s="3">
        <v>1386450</v>
      </c>
      <c r="N6" s="3">
        <v>0</v>
      </c>
      <c r="O6" s="3">
        <v>14493</v>
      </c>
      <c r="P6" s="3">
        <v>29583</v>
      </c>
      <c r="Q6" s="3">
        <v>676</v>
      </c>
      <c r="R6" s="3">
        <v>29583</v>
      </c>
      <c r="S6" s="3">
        <v>676</v>
      </c>
    </row>
    <row r="7" spans="1:19" x14ac:dyDescent="0.4">
      <c r="A7" t="s">
        <v>23</v>
      </c>
      <c r="B7">
        <v>2015</v>
      </c>
      <c r="C7" s="3">
        <v>623737.44499999995</v>
      </c>
      <c r="D7" s="3">
        <v>1069944.5989999999</v>
      </c>
      <c r="E7" s="3">
        <v>1723870</v>
      </c>
      <c r="F7" s="3">
        <v>235185.16099999999</v>
      </c>
      <c r="G7" s="3">
        <v>0</v>
      </c>
      <c r="H7" s="3">
        <v>1415412</v>
      </c>
      <c r="I7" s="3">
        <v>92476</v>
      </c>
      <c r="J7" s="3">
        <v>63334</v>
      </c>
      <c r="K7" s="3">
        <v>29142</v>
      </c>
      <c r="L7" s="3">
        <v>19650</v>
      </c>
      <c r="M7" s="3">
        <v>1415412</v>
      </c>
      <c r="N7" s="3">
        <v>0</v>
      </c>
      <c r="O7" s="3">
        <v>13496</v>
      </c>
      <c r="P7" s="3">
        <v>29478</v>
      </c>
      <c r="Q7" s="3">
        <v>710</v>
      </c>
      <c r="R7" s="3">
        <v>29478</v>
      </c>
      <c r="S7" s="3">
        <v>710</v>
      </c>
    </row>
    <row r="8" spans="1:19" x14ac:dyDescent="0.4">
      <c r="A8" t="s">
        <v>23</v>
      </c>
      <c r="B8">
        <v>2016</v>
      </c>
      <c r="C8" s="3">
        <v>578139.40899999999</v>
      </c>
      <c r="D8" s="3">
        <v>1079744.6470000001</v>
      </c>
      <c r="E8" s="3">
        <v>1688000</v>
      </c>
      <c r="F8" s="3">
        <v>253237.85</v>
      </c>
      <c r="G8" s="3">
        <v>0</v>
      </c>
      <c r="H8" s="3">
        <v>1366004</v>
      </c>
      <c r="I8" s="3">
        <v>89011</v>
      </c>
      <c r="J8" s="3">
        <v>62538</v>
      </c>
      <c r="K8" s="3">
        <v>26473</v>
      </c>
      <c r="L8" s="3">
        <v>19923</v>
      </c>
      <c r="M8" s="3">
        <v>1366004</v>
      </c>
      <c r="N8" s="3">
        <v>0</v>
      </c>
      <c r="O8" s="3">
        <v>12499</v>
      </c>
      <c r="P8" s="3">
        <v>29373</v>
      </c>
      <c r="Q8" s="3">
        <v>743</v>
      </c>
      <c r="R8" s="3">
        <v>29373</v>
      </c>
      <c r="S8" s="3">
        <v>743</v>
      </c>
    </row>
    <row r="9" spans="1:19" x14ac:dyDescent="0.4">
      <c r="A9" t="s">
        <v>23</v>
      </c>
      <c r="B9">
        <v>2017</v>
      </c>
      <c r="C9" s="3">
        <v>581165.20799999998</v>
      </c>
      <c r="D9" s="3">
        <v>1095840.906</v>
      </c>
      <c r="E9" s="3">
        <v>1707778</v>
      </c>
      <c r="F9" s="3">
        <v>270811.01799999998</v>
      </c>
      <c r="G9" s="3">
        <v>0</v>
      </c>
      <c r="H9" s="3">
        <v>1363202</v>
      </c>
      <c r="I9" s="3">
        <v>94428</v>
      </c>
      <c r="J9" s="3">
        <v>63811</v>
      </c>
      <c r="K9" s="3">
        <v>30618</v>
      </c>
      <c r="L9" s="3">
        <v>20143</v>
      </c>
      <c r="M9" s="3">
        <v>1363202</v>
      </c>
      <c r="N9" s="3">
        <v>0</v>
      </c>
      <c r="O9" s="3">
        <v>12896</v>
      </c>
      <c r="P9" s="3">
        <v>30004</v>
      </c>
      <c r="Q9" s="3">
        <v>767</v>
      </c>
      <c r="R9" s="3">
        <v>30004</v>
      </c>
      <c r="S9" s="3">
        <v>767</v>
      </c>
    </row>
    <row r="10" spans="1:19" x14ac:dyDescent="0.4">
      <c r="A10" t="s">
        <v>23</v>
      </c>
      <c r="B10">
        <v>2018</v>
      </c>
      <c r="C10" s="3">
        <v>558596.41200000001</v>
      </c>
      <c r="D10" s="3">
        <v>1096648.871</v>
      </c>
      <c r="E10" s="3">
        <v>1686673</v>
      </c>
      <c r="F10" s="3">
        <v>261005.39199999999</v>
      </c>
      <c r="G10" s="3">
        <v>0</v>
      </c>
      <c r="H10" s="3">
        <v>1355781</v>
      </c>
      <c r="I10" s="3">
        <v>91799</v>
      </c>
      <c r="J10" s="3">
        <v>65083</v>
      </c>
      <c r="K10" s="3">
        <v>26716</v>
      </c>
      <c r="L10" s="3">
        <v>20362</v>
      </c>
      <c r="M10" s="3">
        <v>1355781</v>
      </c>
      <c r="N10" s="3">
        <v>0</v>
      </c>
      <c r="O10" s="3">
        <v>13293</v>
      </c>
      <c r="P10" s="3">
        <v>30636</v>
      </c>
      <c r="Q10" s="3">
        <v>792</v>
      </c>
      <c r="R10" s="3">
        <v>30636</v>
      </c>
      <c r="S10" s="3">
        <v>792</v>
      </c>
    </row>
    <row r="11" spans="1:19" x14ac:dyDescent="0.4">
      <c r="A11" t="s">
        <v>23</v>
      </c>
      <c r="B11">
        <v>2019</v>
      </c>
      <c r="C11" s="3">
        <v>473294.67800000001</v>
      </c>
      <c r="D11" s="3">
        <v>1063311.291</v>
      </c>
      <c r="E11" s="3">
        <v>1568000</v>
      </c>
      <c r="F11" s="3">
        <v>245853.09400000001</v>
      </c>
      <c r="G11" s="3">
        <v>0</v>
      </c>
      <c r="H11" s="3">
        <v>1257390</v>
      </c>
      <c r="I11" s="3">
        <v>87339</v>
      </c>
      <c r="J11" s="3">
        <v>63025</v>
      </c>
      <c r="K11" s="3">
        <v>24314</v>
      </c>
      <c r="L11" s="3">
        <v>19740</v>
      </c>
      <c r="M11" s="3">
        <v>1257390</v>
      </c>
      <c r="N11" s="3">
        <v>0</v>
      </c>
      <c r="O11" s="3">
        <v>11891</v>
      </c>
      <c r="P11" s="3">
        <v>30452</v>
      </c>
      <c r="Q11" s="3">
        <v>941</v>
      </c>
      <c r="R11" s="3">
        <v>30452</v>
      </c>
      <c r="S11" s="3">
        <v>941</v>
      </c>
    </row>
    <row r="12" spans="1:19" x14ac:dyDescent="0.4">
      <c r="A12" t="s">
        <v>23</v>
      </c>
      <c r="B12">
        <v>2020</v>
      </c>
      <c r="C12" s="3">
        <v>383836.88900000002</v>
      </c>
      <c r="D12" s="3">
        <v>940636.84</v>
      </c>
      <c r="E12" s="3">
        <v>1355833</v>
      </c>
      <c r="F12" s="3">
        <v>222502.22700000001</v>
      </c>
      <c r="G12" s="3">
        <v>0</v>
      </c>
      <c r="H12" s="3">
        <v>1075372</v>
      </c>
      <c r="I12" s="3">
        <v>79154</v>
      </c>
      <c r="J12" s="3">
        <v>60985</v>
      </c>
      <c r="K12" s="3">
        <v>18169</v>
      </c>
      <c r="L12" s="3">
        <v>19135</v>
      </c>
      <c r="M12" s="3">
        <v>1075372</v>
      </c>
      <c r="N12" s="3">
        <v>0</v>
      </c>
      <c r="O12" s="3">
        <v>10490</v>
      </c>
      <c r="P12" s="3">
        <v>30269</v>
      </c>
      <c r="Q12" s="3">
        <v>1090</v>
      </c>
      <c r="R12" s="3">
        <v>30269</v>
      </c>
      <c r="S12" s="3">
        <v>1090</v>
      </c>
    </row>
    <row r="13" spans="1:19" x14ac:dyDescent="0.4">
      <c r="A13" t="s">
        <v>23</v>
      </c>
      <c r="B13">
        <v>2021</v>
      </c>
      <c r="C13" s="3">
        <v>409682.56099999999</v>
      </c>
      <c r="D13" s="3">
        <v>986107.67200000002</v>
      </c>
      <c r="E13" s="3">
        <v>1427528</v>
      </c>
      <c r="F13" s="3">
        <v>236127.56899999999</v>
      </c>
      <c r="G13" s="3">
        <v>0</v>
      </c>
      <c r="H13" s="3">
        <v>1131708</v>
      </c>
      <c r="I13" s="3">
        <v>81201</v>
      </c>
      <c r="J13" s="3">
        <v>60795</v>
      </c>
      <c r="K13" s="3">
        <v>20406</v>
      </c>
      <c r="L13" s="3">
        <v>18761</v>
      </c>
      <c r="M13" s="3">
        <v>1131708</v>
      </c>
      <c r="N13" s="3">
        <v>0</v>
      </c>
      <c r="O13" s="3">
        <v>10296</v>
      </c>
      <c r="P13" s="3">
        <v>30708</v>
      </c>
      <c r="Q13" s="3">
        <v>1030</v>
      </c>
      <c r="R13" s="3">
        <v>30708</v>
      </c>
      <c r="S13" s="3">
        <v>1030</v>
      </c>
    </row>
    <row r="14" spans="1:19" x14ac:dyDescent="0.4">
      <c r="A14" t="s">
        <v>23</v>
      </c>
      <c r="B14">
        <v>2022</v>
      </c>
      <c r="C14" s="3">
        <v>423225.70699999999</v>
      </c>
      <c r="D14" s="3">
        <v>1029587.171</v>
      </c>
      <c r="E14" s="3">
        <v>1484929</v>
      </c>
      <c r="F14" s="3">
        <v>227471.68299999999</v>
      </c>
      <c r="G14" s="3">
        <v>0</v>
      </c>
      <c r="H14" s="3">
        <v>1202003</v>
      </c>
      <c r="I14" s="3">
        <v>79917</v>
      </c>
      <c r="J14" s="3">
        <v>60592</v>
      </c>
      <c r="K14" s="3">
        <v>19325</v>
      </c>
      <c r="L14" s="3">
        <v>18377</v>
      </c>
      <c r="M14" s="3">
        <v>1202003</v>
      </c>
      <c r="N14" s="3">
        <v>0</v>
      </c>
      <c r="O14" s="3">
        <v>10098</v>
      </c>
      <c r="P14" s="3">
        <v>31147</v>
      </c>
      <c r="Q14" s="3">
        <v>970</v>
      </c>
      <c r="R14" s="3">
        <v>31147</v>
      </c>
      <c r="S14" s="3">
        <v>970</v>
      </c>
    </row>
    <row r="15" spans="1:19" x14ac:dyDescent="0.4">
      <c r="A15" t="s">
        <v>23</v>
      </c>
      <c r="B15">
        <v>2023</v>
      </c>
      <c r="C15" s="3">
        <v>341426.73700000002</v>
      </c>
      <c r="D15" s="3">
        <v>958944.34299999999</v>
      </c>
      <c r="E15" s="3">
        <v>1333448</v>
      </c>
      <c r="F15" s="3">
        <v>223419.758</v>
      </c>
      <c r="G15" s="3">
        <v>0</v>
      </c>
      <c r="H15" s="3">
        <v>1066633</v>
      </c>
      <c r="I15" s="3">
        <v>64072</v>
      </c>
      <c r="J15" s="3">
        <v>62706</v>
      </c>
      <c r="K15" s="3">
        <v>1367</v>
      </c>
      <c r="L15" s="3">
        <v>20124</v>
      </c>
      <c r="M15" s="3">
        <v>1066633</v>
      </c>
      <c r="N15" s="3">
        <v>0</v>
      </c>
      <c r="O15" s="3">
        <v>9505</v>
      </c>
      <c r="P15" s="3">
        <v>32004</v>
      </c>
      <c r="Q15" s="3">
        <v>1073</v>
      </c>
      <c r="R15" s="3">
        <v>32004</v>
      </c>
      <c r="S15" s="3">
        <v>1073</v>
      </c>
    </row>
    <row r="16" spans="1:19" x14ac:dyDescent="0.4">
      <c r="A16" t="s">
        <v>23</v>
      </c>
      <c r="B16">
        <v>2024</v>
      </c>
      <c r="C16" s="13">
        <f>(C$52-C$15)/($B$52-$B$15)*($B16-$B$15)+C$15</f>
        <v>347370.97925675678</v>
      </c>
      <c r="D16" s="13">
        <f>(D$52-D$15)/($B$52-$B$15)*($B16-$B$15)+D$15</f>
        <v>959052.60775945941</v>
      </c>
      <c r="E16" s="13">
        <f t="shared" ref="E16:S17" si="0">(E$52-E$15)/($B$52-$B$15)*($B16-$B$15)+E$15</f>
        <v>1339340.8378378379</v>
      </c>
      <c r="F16" s="13">
        <f t="shared" si="0"/>
        <v>223102.10629459459</v>
      </c>
      <c r="G16" s="13">
        <f t="shared" si="0"/>
        <v>0</v>
      </c>
      <c r="H16" s="13">
        <f t="shared" si="0"/>
        <v>1072234.0216216217</v>
      </c>
      <c r="I16" s="13">
        <f t="shared" si="0"/>
        <v>64589.740540540544</v>
      </c>
      <c r="J16" s="13">
        <f t="shared" si="0"/>
        <v>62551.8</v>
      </c>
      <c r="K16" s="13">
        <f t="shared" si="0"/>
        <v>2038.9135135135134</v>
      </c>
      <c r="L16" s="13">
        <f t="shared" si="0"/>
        <v>20058.08108108108</v>
      </c>
      <c r="M16" s="13">
        <f t="shared" si="0"/>
        <v>1072234.0216216217</v>
      </c>
      <c r="N16" s="13">
        <f t="shared" si="0"/>
        <v>0</v>
      </c>
      <c r="O16" s="13">
        <f t="shared" si="0"/>
        <v>9576.389189189189</v>
      </c>
      <c r="P16" s="13">
        <f t="shared" si="0"/>
        <v>31856.059459459459</v>
      </c>
      <c r="Q16" s="13">
        <f t="shared" si="0"/>
        <v>1061.2702702702702</v>
      </c>
      <c r="R16" s="13">
        <f t="shared" si="0"/>
        <v>31856.059459459459</v>
      </c>
      <c r="S16" s="13">
        <f t="shared" si="0"/>
        <v>1061.2702702702702</v>
      </c>
    </row>
    <row r="17" spans="1:19" x14ac:dyDescent="0.4">
      <c r="A17" t="s">
        <v>23</v>
      </c>
      <c r="B17">
        <v>2025</v>
      </c>
      <c r="C17" s="13">
        <f>(C$52-C$15)/($B$52-$B$15)*($B17-$B$15)+C$15</f>
        <v>353315.22151351353</v>
      </c>
      <c r="D17" s="13">
        <f>(D$52-D$15)/($B$52-$B$15)*($B17-$B$15)+D$15</f>
        <v>959160.87251891894</v>
      </c>
      <c r="E17" s="13">
        <f t="shared" si="0"/>
        <v>1345233.6756756757</v>
      </c>
      <c r="F17" s="13">
        <f t="shared" si="0"/>
        <v>222784.45458918918</v>
      </c>
      <c r="G17" s="13">
        <f t="shared" si="0"/>
        <v>0</v>
      </c>
      <c r="H17" s="13">
        <f t="shared" si="0"/>
        <v>1077835.0432432434</v>
      </c>
      <c r="I17" s="13">
        <f t="shared" si="0"/>
        <v>65107.481081081081</v>
      </c>
      <c r="J17" s="13">
        <f t="shared" ref="E17:S34" si="1">(J$52-J$15)/($B$52-$B$15)*($B17-$B$15)+J$15</f>
        <v>62397.599999999999</v>
      </c>
      <c r="K17" s="13">
        <f t="shared" si="1"/>
        <v>2710.8270270270268</v>
      </c>
      <c r="L17" s="13">
        <f t="shared" si="1"/>
        <v>19992.162162162163</v>
      </c>
      <c r="M17" s="13">
        <f t="shared" si="1"/>
        <v>1077835.0432432434</v>
      </c>
      <c r="N17" s="13">
        <f t="shared" si="1"/>
        <v>0</v>
      </c>
      <c r="O17" s="13">
        <f t="shared" si="1"/>
        <v>9647.778378378378</v>
      </c>
      <c r="P17" s="13">
        <f t="shared" si="1"/>
        <v>31708.118918918917</v>
      </c>
      <c r="Q17" s="13">
        <f t="shared" si="1"/>
        <v>1049.5405405405406</v>
      </c>
      <c r="R17" s="13">
        <f t="shared" si="1"/>
        <v>31708.118918918917</v>
      </c>
      <c r="S17" s="13">
        <f t="shared" si="1"/>
        <v>1049.5405405405406</v>
      </c>
    </row>
    <row r="18" spans="1:19" x14ac:dyDescent="0.4">
      <c r="A18" t="s">
        <v>23</v>
      </c>
      <c r="B18">
        <v>2026</v>
      </c>
      <c r="C18" s="13">
        <f t="shared" ref="C18:C51" si="2">(C$52-C$15)/($B$52-$B$15)*($B18-$B$15)+C$15</f>
        <v>359259.46377027029</v>
      </c>
      <c r="D18" s="13">
        <f>(D$52-D$15)/($B$52-$B$15)*($B18-$B$15)+D$15</f>
        <v>959269.13727837836</v>
      </c>
      <c r="E18" s="13">
        <f t="shared" si="1"/>
        <v>1351126.5135135136</v>
      </c>
      <c r="F18" s="13">
        <f t="shared" si="1"/>
        <v>222466.80288378379</v>
      </c>
      <c r="G18" s="13">
        <f t="shared" si="1"/>
        <v>0</v>
      </c>
      <c r="H18" s="13">
        <f t="shared" si="1"/>
        <v>1083436.0648648648</v>
      </c>
      <c r="I18" s="13">
        <f t="shared" si="1"/>
        <v>65625.221621621618</v>
      </c>
      <c r="J18" s="13">
        <f t="shared" si="1"/>
        <v>62243.4</v>
      </c>
      <c r="K18" s="13">
        <f t="shared" si="1"/>
        <v>3382.7405405405407</v>
      </c>
      <c r="L18" s="13">
        <f t="shared" si="1"/>
        <v>19926.243243243243</v>
      </c>
      <c r="M18" s="13">
        <f t="shared" si="1"/>
        <v>1083436.0648648648</v>
      </c>
      <c r="N18" s="13">
        <f t="shared" si="1"/>
        <v>0</v>
      </c>
      <c r="O18" s="13">
        <f t="shared" si="1"/>
        <v>9719.1675675675669</v>
      </c>
      <c r="P18" s="13">
        <f t="shared" si="1"/>
        <v>31560.178378378379</v>
      </c>
      <c r="Q18" s="13">
        <f t="shared" si="1"/>
        <v>1037.8108108108108</v>
      </c>
      <c r="R18" s="13">
        <f t="shared" si="1"/>
        <v>31560.178378378379</v>
      </c>
      <c r="S18" s="13">
        <f t="shared" si="1"/>
        <v>1037.8108108108108</v>
      </c>
    </row>
    <row r="19" spans="1:19" x14ac:dyDescent="0.4">
      <c r="A19" t="s">
        <v>23</v>
      </c>
      <c r="B19">
        <v>2027</v>
      </c>
      <c r="C19" s="13">
        <f t="shared" si="2"/>
        <v>365203.70602702704</v>
      </c>
      <c r="D19" s="13">
        <f t="shared" ref="D19:D51" si="3">(D$52-D$15)/($B$52-$B$15)*($B19-$B$15)+D$15</f>
        <v>959377.40203783778</v>
      </c>
      <c r="E19" s="13">
        <f t="shared" si="1"/>
        <v>1357019.3513513512</v>
      </c>
      <c r="F19" s="13">
        <f t="shared" si="1"/>
        <v>222149.15117837838</v>
      </c>
      <c r="G19" s="13">
        <f t="shared" si="1"/>
        <v>0</v>
      </c>
      <c r="H19" s="13">
        <f t="shared" si="1"/>
        <v>1089037.0864864865</v>
      </c>
      <c r="I19" s="13">
        <f t="shared" si="1"/>
        <v>66142.962162162163</v>
      </c>
      <c r="J19" s="13">
        <f t="shared" si="1"/>
        <v>62089.2</v>
      </c>
      <c r="K19" s="13">
        <f t="shared" si="1"/>
        <v>4054.6540540540541</v>
      </c>
      <c r="L19" s="13">
        <f t="shared" si="1"/>
        <v>19860.324324324323</v>
      </c>
      <c r="M19" s="13">
        <f t="shared" si="1"/>
        <v>1089037.0864864865</v>
      </c>
      <c r="N19" s="13">
        <f t="shared" si="1"/>
        <v>0</v>
      </c>
      <c r="O19" s="13">
        <f t="shared" si="1"/>
        <v>9790.5567567567559</v>
      </c>
      <c r="P19" s="13">
        <f t="shared" si="1"/>
        <v>31412.237837837838</v>
      </c>
      <c r="Q19" s="13">
        <f t="shared" si="1"/>
        <v>1026.081081081081</v>
      </c>
      <c r="R19" s="13">
        <f t="shared" si="1"/>
        <v>31412.237837837838</v>
      </c>
      <c r="S19" s="13">
        <f t="shared" si="1"/>
        <v>1026.081081081081</v>
      </c>
    </row>
    <row r="20" spans="1:19" x14ac:dyDescent="0.4">
      <c r="A20" t="s">
        <v>23</v>
      </c>
      <c r="B20">
        <v>2028</v>
      </c>
      <c r="C20" s="13">
        <f t="shared" si="2"/>
        <v>371147.9482837838</v>
      </c>
      <c r="D20" s="13">
        <f t="shared" si="3"/>
        <v>959485.66679729731</v>
      </c>
      <c r="E20" s="13">
        <f t="shared" si="1"/>
        <v>1362912.1891891891</v>
      </c>
      <c r="F20" s="13">
        <f t="shared" si="1"/>
        <v>221831.49947297297</v>
      </c>
      <c r="G20" s="13">
        <f t="shared" si="1"/>
        <v>0</v>
      </c>
      <c r="H20" s="13">
        <f t="shared" si="1"/>
        <v>1094638.1081081082</v>
      </c>
      <c r="I20" s="13">
        <f t="shared" si="1"/>
        <v>66660.702702702707</v>
      </c>
      <c r="J20" s="13">
        <f t="shared" si="1"/>
        <v>61935</v>
      </c>
      <c r="K20" s="13">
        <f t="shared" si="1"/>
        <v>4726.5675675675675</v>
      </c>
      <c r="L20" s="13">
        <f t="shared" si="1"/>
        <v>19794.405405405407</v>
      </c>
      <c r="M20" s="13">
        <f t="shared" si="1"/>
        <v>1094638.1081081082</v>
      </c>
      <c r="N20" s="13">
        <f t="shared" si="1"/>
        <v>0</v>
      </c>
      <c r="O20" s="13">
        <f t="shared" si="1"/>
        <v>9861.9459459459467</v>
      </c>
      <c r="P20" s="13">
        <f t="shared" si="1"/>
        <v>31264.297297297297</v>
      </c>
      <c r="Q20" s="13">
        <f t="shared" si="1"/>
        <v>1014.3513513513514</v>
      </c>
      <c r="R20" s="13">
        <f t="shared" si="1"/>
        <v>31264.297297297297</v>
      </c>
      <c r="S20" s="13">
        <f t="shared" si="1"/>
        <v>1014.3513513513514</v>
      </c>
    </row>
    <row r="21" spans="1:19" x14ac:dyDescent="0.4">
      <c r="A21" t="s">
        <v>23</v>
      </c>
      <c r="B21">
        <v>2029</v>
      </c>
      <c r="C21" s="13">
        <f t="shared" si="2"/>
        <v>377092.19054054056</v>
      </c>
      <c r="D21" s="13">
        <f t="shared" si="3"/>
        <v>959593.93155675672</v>
      </c>
      <c r="E21" s="13">
        <f t="shared" si="1"/>
        <v>1368805.027027027</v>
      </c>
      <c r="F21" s="13">
        <f t="shared" si="1"/>
        <v>221513.84776756755</v>
      </c>
      <c r="G21" s="13">
        <f t="shared" si="1"/>
        <v>0</v>
      </c>
      <c r="H21" s="13">
        <f t="shared" si="1"/>
        <v>1100239.1297297298</v>
      </c>
      <c r="I21" s="13">
        <f t="shared" si="1"/>
        <v>67178.443243243251</v>
      </c>
      <c r="J21" s="13">
        <f t="shared" si="1"/>
        <v>61780.800000000003</v>
      </c>
      <c r="K21" s="13">
        <f t="shared" si="1"/>
        <v>5398.4810810810814</v>
      </c>
      <c r="L21" s="13">
        <f t="shared" si="1"/>
        <v>19728.486486486487</v>
      </c>
      <c r="M21" s="13">
        <f t="shared" si="1"/>
        <v>1100239.1297297298</v>
      </c>
      <c r="N21" s="13">
        <f t="shared" si="1"/>
        <v>0</v>
      </c>
      <c r="O21" s="13">
        <f t="shared" si="1"/>
        <v>9933.3351351351357</v>
      </c>
      <c r="P21" s="13">
        <f t="shared" si="1"/>
        <v>31116.356756756755</v>
      </c>
      <c r="Q21" s="13">
        <f t="shared" si="1"/>
        <v>1002.6216216216217</v>
      </c>
      <c r="R21" s="13">
        <f t="shared" si="1"/>
        <v>31116.356756756755</v>
      </c>
      <c r="S21" s="13">
        <f t="shared" si="1"/>
        <v>1002.6216216216217</v>
      </c>
    </row>
    <row r="22" spans="1:19" x14ac:dyDescent="0.4">
      <c r="A22" t="s">
        <v>23</v>
      </c>
      <c r="B22">
        <v>2030</v>
      </c>
      <c r="C22" s="13">
        <f t="shared" si="2"/>
        <v>383036.43279729731</v>
      </c>
      <c r="D22" s="13">
        <f t="shared" si="3"/>
        <v>959702.19631621614</v>
      </c>
      <c r="E22" s="13">
        <f t="shared" si="1"/>
        <v>1374697.8648648649</v>
      </c>
      <c r="F22" s="13">
        <f t="shared" si="1"/>
        <v>221196.19606216217</v>
      </c>
      <c r="G22" s="13">
        <f t="shared" si="1"/>
        <v>0</v>
      </c>
      <c r="H22" s="13">
        <f t="shared" si="1"/>
        <v>1105840.1513513513</v>
      </c>
      <c r="I22" s="13">
        <f t="shared" si="1"/>
        <v>67696.183783783781</v>
      </c>
      <c r="J22" s="13">
        <f t="shared" si="1"/>
        <v>61626.6</v>
      </c>
      <c r="K22" s="13">
        <f t="shared" si="1"/>
        <v>6070.3945945945943</v>
      </c>
      <c r="L22" s="13">
        <f t="shared" si="1"/>
        <v>19662.567567567567</v>
      </c>
      <c r="M22" s="13">
        <f t="shared" si="1"/>
        <v>1105840.1513513513</v>
      </c>
      <c r="N22" s="13">
        <f t="shared" si="1"/>
        <v>0</v>
      </c>
      <c r="O22" s="13">
        <f t="shared" si="1"/>
        <v>10004.724324324325</v>
      </c>
      <c r="P22" s="13">
        <f t="shared" si="1"/>
        <v>30968.416216216217</v>
      </c>
      <c r="Q22" s="13">
        <f t="shared" si="1"/>
        <v>990.89189189189187</v>
      </c>
      <c r="R22" s="13">
        <f t="shared" si="1"/>
        <v>30968.416216216217</v>
      </c>
      <c r="S22" s="13">
        <f t="shared" si="1"/>
        <v>990.89189189189187</v>
      </c>
    </row>
    <row r="23" spans="1:19" x14ac:dyDescent="0.4">
      <c r="A23" t="s">
        <v>23</v>
      </c>
      <c r="B23">
        <v>2031</v>
      </c>
      <c r="C23" s="13">
        <f t="shared" si="2"/>
        <v>388980.67505405407</v>
      </c>
      <c r="D23" s="13">
        <f t="shared" si="3"/>
        <v>959810.46107567567</v>
      </c>
      <c r="E23" s="13">
        <f t="shared" si="1"/>
        <v>1380590.7027027027</v>
      </c>
      <c r="F23" s="13">
        <f t="shared" si="1"/>
        <v>220878.54435675676</v>
      </c>
      <c r="G23" s="13">
        <f t="shared" si="1"/>
        <v>0</v>
      </c>
      <c r="H23" s="13">
        <f t="shared" si="1"/>
        <v>1111441.172972973</v>
      </c>
      <c r="I23" s="13">
        <f t="shared" si="1"/>
        <v>68213.924324324325</v>
      </c>
      <c r="J23" s="13">
        <f t="shared" si="1"/>
        <v>61472.4</v>
      </c>
      <c r="K23" s="13">
        <f t="shared" si="1"/>
        <v>6742.3081081081082</v>
      </c>
      <c r="L23" s="13">
        <f t="shared" si="1"/>
        <v>19596.64864864865</v>
      </c>
      <c r="M23" s="13">
        <f t="shared" si="1"/>
        <v>1111441.172972973</v>
      </c>
      <c r="N23" s="13">
        <f t="shared" si="1"/>
        <v>0</v>
      </c>
      <c r="O23" s="13">
        <f t="shared" si="1"/>
        <v>10076.113513513514</v>
      </c>
      <c r="P23" s="13">
        <f t="shared" si="1"/>
        <v>30820.475675675676</v>
      </c>
      <c r="Q23" s="13">
        <f t="shared" si="1"/>
        <v>979.16216216216219</v>
      </c>
      <c r="R23" s="13">
        <f t="shared" si="1"/>
        <v>30820.475675675676</v>
      </c>
      <c r="S23" s="13">
        <f t="shared" si="1"/>
        <v>979.16216216216219</v>
      </c>
    </row>
    <row r="24" spans="1:19" x14ac:dyDescent="0.4">
      <c r="A24" t="s">
        <v>23</v>
      </c>
      <c r="B24">
        <v>2032</v>
      </c>
      <c r="C24" s="13">
        <f t="shared" si="2"/>
        <v>394924.91731081082</v>
      </c>
      <c r="D24" s="13">
        <f t="shared" si="3"/>
        <v>959918.72583513509</v>
      </c>
      <c r="E24" s="13">
        <f t="shared" si="1"/>
        <v>1386483.5405405406</v>
      </c>
      <c r="F24" s="13">
        <f t="shared" si="1"/>
        <v>220560.89265135134</v>
      </c>
      <c r="G24" s="13">
        <f t="shared" si="1"/>
        <v>0</v>
      </c>
      <c r="H24" s="13">
        <f t="shared" si="1"/>
        <v>1117042.1945945946</v>
      </c>
      <c r="I24" s="13">
        <f t="shared" si="1"/>
        <v>68731.66486486487</v>
      </c>
      <c r="J24" s="13">
        <f t="shared" si="1"/>
        <v>61318.2</v>
      </c>
      <c r="K24" s="13">
        <f t="shared" si="1"/>
        <v>7414.221621621622</v>
      </c>
      <c r="L24" s="13">
        <f t="shared" si="1"/>
        <v>19530.72972972973</v>
      </c>
      <c r="M24" s="13">
        <f t="shared" si="1"/>
        <v>1117042.1945945946</v>
      </c>
      <c r="N24" s="13">
        <f t="shared" si="1"/>
        <v>0</v>
      </c>
      <c r="O24" s="13">
        <f t="shared" si="1"/>
        <v>10147.502702702703</v>
      </c>
      <c r="P24" s="13">
        <f t="shared" si="1"/>
        <v>30672.535135135135</v>
      </c>
      <c r="Q24" s="13">
        <f t="shared" si="1"/>
        <v>967.43243243243239</v>
      </c>
      <c r="R24" s="13">
        <f t="shared" si="1"/>
        <v>30672.535135135135</v>
      </c>
      <c r="S24" s="13">
        <f t="shared" si="1"/>
        <v>967.43243243243239</v>
      </c>
    </row>
    <row r="25" spans="1:19" x14ac:dyDescent="0.4">
      <c r="A25" t="s">
        <v>23</v>
      </c>
      <c r="B25">
        <v>2033</v>
      </c>
      <c r="C25" s="13">
        <f t="shared" si="2"/>
        <v>400869.15956756758</v>
      </c>
      <c r="D25" s="13">
        <f t="shared" si="3"/>
        <v>960026.99059459462</v>
      </c>
      <c r="E25" s="13">
        <f t="shared" si="1"/>
        <v>1392376.3783783785</v>
      </c>
      <c r="F25" s="13">
        <f t="shared" si="1"/>
        <v>220243.24094594593</v>
      </c>
      <c r="G25" s="13">
        <f t="shared" si="1"/>
        <v>0</v>
      </c>
      <c r="H25" s="13">
        <f t="shared" si="1"/>
        <v>1122643.2162162163</v>
      </c>
      <c r="I25" s="13">
        <f t="shared" si="1"/>
        <v>69249.405405405414</v>
      </c>
      <c r="J25" s="13">
        <f t="shared" si="1"/>
        <v>61164</v>
      </c>
      <c r="K25" s="13">
        <f t="shared" si="1"/>
        <v>8086.135135135135</v>
      </c>
      <c r="L25" s="13">
        <f t="shared" si="1"/>
        <v>19464.81081081081</v>
      </c>
      <c r="M25" s="13">
        <f t="shared" si="1"/>
        <v>1122643.2162162163</v>
      </c>
      <c r="N25" s="13">
        <f t="shared" si="1"/>
        <v>0</v>
      </c>
      <c r="O25" s="13">
        <f t="shared" si="1"/>
        <v>10218.891891891892</v>
      </c>
      <c r="P25" s="13">
        <f t="shared" si="1"/>
        <v>30524.594594594593</v>
      </c>
      <c r="Q25" s="13">
        <f t="shared" si="1"/>
        <v>955.70270270270271</v>
      </c>
      <c r="R25" s="13">
        <f t="shared" si="1"/>
        <v>30524.594594594593</v>
      </c>
      <c r="S25" s="13">
        <f t="shared" si="1"/>
        <v>955.70270270270271</v>
      </c>
    </row>
    <row r="26" spans="1:19" x14ac:dyDescent="0.4">
      <c r="A26" t="s">
        <v>23</v>
      </c>
      <c r="B26">
        <v>2034</v>
      </c>
      <c r="C26" s="13">
        <f t="shared" si="2"/>
        <v>406813.40182432433</v>
      </c>
      <c r="D26" s="13">
        <f t="shared" si="3"/>
        <v>960135.25535405404</v>
      </c>
      <c r="E26" s="13">
        <f t="shared" si="1"/>
        <v>1398269.2162162163</v>
      </c>
      <c r="F26" s="13">
        <f t="shared" si="1"/>
        <v>219925.58924054055</v>
      </c>
      <c r="G26" s="13">
        <f t="shared" si="1"/>
        <v>0</v>
      </c>
      <c r="H26" s="13">
        <f t="shared" si="1"/>
        <v>1128244.2378378378</v>
      </c>
      <c r="I26" s="13">
        <f t="shared" si="1"/>
        <v>69767.145945945944</v>
      </c>
      <c r="J26" s="13">
        <f t="shared" si="1"/>
        <v>61009.8</v>
      </c>
      <c r="K26" s="13">
        <f t="shared" si="1"/>
        <v>8758.0486486486479</v>
      </c>
      <c r="L26" s="13">
        <f t="shared" si="1"/>
        <v>19398.891891891893</v>
      </c>
      <c r="M26" s="13">
        <f t="shared" si="1"/>
        <v>1128244.2378378378</v>
      </c>
      <c r="N26" s="13">
        <f t="shared" si="1"/>
        <v>0</v>
      </c>
      <c r="O26" s="13">
        <f t="shared" si="1"/>
        <v>10290.281081081081</v>
      </c>
      <c r="P26" s="13">
        <f t="shared" si="1"/>
        <v>30376.654054054055</v>
      </c>
      <c r="Q26" s="13">
        <f t="shared" si="1"/>
        <v>943.97297297297291</v>
      </c>
      <c r="R26" s="13">
        <f t="shared" si="1"/>
        <v>30376.654054054055</v>
      </c>
      <c r="S26" s="13">
        <f t="shared" si="1"/>
        <v>943.97297297297291</v>
      </c>
    </row>
    <row r="27" spans="1:19" x14ac:dyDescent="0.4">
      <c r="A27" t="s">
        <v>23</v>
      </c>
      <c r="B27">
        <v>2035</v>
      </c>
      <c r="C27" s="13">
        <f t="shared" si="2"/>
        <v>412757.64408108103</v>
      </c>
      <c r="D27" s="13">
        <f t="shared" si="3"/>
        <v>960243.52011351346</v>
      </c>
      <c r="E27" s="13">
        <f t="shared" si="1"/>
        <v>1404162.054054054</v>
      </c>
      <c r="F27" s="13">
        <f t="shared" si="1"/>
        <v>219607.93753513513</v>
      </c>
      <c r="G27" s="13">
        <f t="shared" si="1"/>
        <v>0</v>
      </c>
      <c r="H27" s="13">
        <f t="shared" si="1"/>
        <v>1133845.2594594595</v>
      </c>
      <c r="I27" s="13">
        <f t="shared" si="1"/>
        <v>70284.886486486488</v>
      </c>
      <c r="J27" s="13">
        <f t="shared" si="1"/>
        <v>60855.6</v>
      </c>
      <c r="K27" s="13">
        <f t="shared" si="1"/>
        <v>9429.9621621621627</v>
      </c>
      <c r="L27" s="13">
        <f t="shared" si="1"/>
        <v>19332.972972972973</v>
      </c>
      <c r="M27" s="13">
        <f t="shared" si="1"/>
        <v>1133845.2594594595</v>
      </c>
      <c r="N27" s="13">
        <f t="shared" si="1"/>
        <v>0</v>
      </c>
      <c r="O27" s="13">
        <f t="shared" si="1"/>
        <v>10361.67027027027</v>
      </c>
      <c r="P27" s="13">
        <f t="shared" si="1"/>
        <v>30228.713513513514</v>
      </c>
      <c r="Q27" s="13">
        <f t="shared" si="1"/>
        <v>932.24324324324323</v>
      </c>
      <c r="R27" s="13">
        <f t="shared" si="1"/>
        <v>30228.713513513514</v>
      </c>
      <c r="S27" s="13">
        <f t="shared" si="1"/>
        <v>932.24324324324323</v>
      </c>
    </row>
    <row r="28" spans="1:19" x14ac:dyDescent="0.4">
      <c r="A28" t="s">
        <v>23</v>
      </c>
      <c r="B28">
        <v>2036</v>
      </c>
      <c r="C28" s="13">
        <f t="shared" si="2"/>
        <v>418701.88633783779</v>
      </c>
      <c r="D28" s="13">
        <f t="shared" si="3"/>
        <v>960351.78487297299</v>
      </c>
      <c r="E28" s="13">
        <f t="shared" si="1"/>
        <v>1410054.8918918918</v>
      </c>
      <c r="F28" s="13">
        <f t="shared" si="1"/>
        <v>219290.28582972972</v>
      </c>
      <c r="G28" s="13">
        <f t="shared" si="1"/>
        <v>0</v>
      </c>
      <c r="H28" s="13">
        <f t="shared" si="1"/>
        <v>1139446.2810810811</v>
      </c>
      <c r="I28" s="13">
        <f t="shared" si="1"/>
        <v>70802.627027027032</v>
      </c>
      <c r="J28" s="13">
        <f t="shared" si="1"/>
        <v>60701.4</v>
      </c>
      <c r="K28" s="13">
        <f t="shared" si="1"/>
        <v>10101.875675675676</v>
      </c>
      <c r="L28" s="13">
        <f t="shared" si="1"/>
        <v>19267.054054054053</v>
      </c>
      <c r="M28" s="13">
        <f t="shared" si="1"/>
        <v>1139446.2810810811</v>
      </c>
      <c r="N28" s="13">
        <f t="shared" si="1"/>
        <v>0</v>
      </c>
      <c r="O28" s="13">
        <f t="shared" si="1"/>
        <v>10433.059459459459</v>
      </c>
      <c r="P28" s="13">
        <f t="shared" si="1"/>
        <v>30080.772972972973</v>
      </c>
      <c r="Q28" s="13">
        <f t="shared" si="1"/>
        <v>920.51351351351354</v>
      </c>
      <c r="R28" s="13">
        <f t="shared" si="1"/>
        <v>30080.772972972973</v>
      </c>
      <c r="S28" s="13">
        <f t="shared" si="1"/>
        <v>920.51351351351354</v>
      </c>
    </row>
    <row r="29" spans="1:19" x14ac:dyDescent="0.4">
      <c r="A29" t="s">
        <v>23</v>
      </c>
      <c r="B29">
        <v>2037</v>
      </c>
      <c r="C29" s="13">
        <f t="shared" si="2"/>
        <v>424646.12859459454</v>
      </c>
      <c r="D29" s="13">
        <f>(D$52-D$15)/($B$52-$B$15)*($B29-$B$15)+D$15</f>
        <v>960460.0496324324</v>
      </c>
      <c r="E29" s="13">
        <f t="shared" si="1"/>
        <v>1415947.7297297297</v>
      </c>
      <c r="F29" s="13">
        <f t="shared" si="1"/>
        <v>218972.63412432431</v>
      </c>
      <c r="G29" s="13">
        <f t="shared" si="1"/>
        <v>0</v>
      </c>
      <c r="H29" s="13">
        <f t="shared" si="1"/>
        <v>1145047.3027027028</v>
      </c>
      <c r="I29" s="13">
        <f t="shared" si="1"/>
        <v>71320.367567567577</v>
      </c>
      <c r="J29" s="13">
        <f t="shared" si="1"/>
        <v>60547.199999999997</v>
      </c>
      <c r="K29" s="13">
        <f t="shared" si="1"/>
        <v>10773.789189189189</v>
      </c>
      <c r="L29" s="13">
        <f t="shared" si="1"/>
        <v>19201.135135135137</v>
      </c>
      <c r="M29" s="13">
        <f t="shared" si="1"/>
        <v>1145047.3027027028</v>
      </c>
      <c r="N29" s="13">
        <f t="shared" si="1"/>
        <v>0</v>
      </c>
      <c r="O29" s="13">
        <f t="shared" si="1"/>
        <v>10504.448648648649</v>
      </c>
      <c r="P29" s="13">
        <f t="shared" si="1"/>
        <v>29932.832432432431</v>
      </c>
      <c r="Q29" s="13">
        <f t="shared" si="1"/>
        <v>908.78378378378375</v>
      </c>
      <c r="R29" s="13">
        <f t="shared" si="1"/>
        <v>29932.832432432431</v>
      </c>
      <c r="S29" s="13">
        <f t="shared" si="1"/>
        <v>908.78378378378375</v>
      </c>
    </row>
    <row r="30" spans="1:19" x14ac:dyDescent="0.4">
      <c r="A30" t="s">
        <v>23</v>
      </c>
      <c r="B30">
        <v>2038</v>
      </c>
      <c r="C30" s="13">
        <f t="shared" si="2"/>
        <v>430590.3708513513</v>
      </c>
      <c r="D30" s="13">
        <f t="shared" si="3"/>
        <v>960568.31439189182</v>
      </c>
      <c r="E30" s="13">
        <f t="shared" si="1"/>
        <v>1421840.5675675676</v>
      </c>
      <c r="F30" s="13">
        <f t="shared" si="1"/>
        <v>218654.98241891892</v>
      </c>
      <c r="G30" s="13">
        <f t="shared" si="1"/>
        <v>0</v>
      </c>
      <c r="H30" s="13">
        <f t="shared" si="1"/>
        <v>1150648.3243243243</v>
      </c>
      <c r="I30" s="13">
        <f t="shared" si="1"/>
        <v>71838.108108108107</v>
      </c>
      <c r="J30" s="13">
        <f t="shared" si="1"/>
        <v>60393</v>
      </c>
      <c r="K30" s="13">
        <f t="shared" si="1"/>
        <v>11445.702702702703</v>
      </c>
      <c r="L30" s="13">
        <f t="shared" si="1"/>
        <v>19135.216216216217</v>
      </c>
      <c r="M30" s="13">
        <f t="shared" si="1"/>
        <v>1150648.3243243243</v>
      </c>
      <c r="N30" s="13">
        <f t="shared" si="1"/>
        <v>0</v>
      </c>
      <c r="O30" s="13">
        <f t="shared" si="1"/>
        <v>10575.837837837838</v>
      </c>
      <c r="P30" s="13">
        <f t="shared" si="1"/>
        <v>29784.891891891893</v>
      </c>
      <c r="Q30" s="13">
        <f t="shared" si="1"/>
        <v>897.05405405405406</v>
      </c>
      <c r="R30" s="13">
        <f t="shared" si="1"/>
        <v>29784.891891891893</v>
      </c>
      <c r="S30" s="13">
        <f t="shared" si="1"/>
        <v>897.05405405405406</v>
      </c>
    </row>
    <row r="31" spans="1:19" x14ac:dyDescent="0.4">
      <c r="A31" t="s">
        <v>23</v>
      </c>
      <c r="B31">
        <v>2039</v>
      </c>
      <c r="C31" s="13">
        <f t="shared" si="2"/>
        <v>436534.61310810805</v>
      </c>
      <c r="D31" s="13">
        <f t="shared" si="3"/>
        <v>960676.57915135135</v>
      </c>
      <c r="E31" s="13">
        <f t="shared" si="1"/>
        <v>1427733.4054054054</v>
      </c>
      <c r="F31" s="13">
        <f t="shared" si="1"/>
        <v>218337.33071351351</v>
      </c>
      <c r="G31" s="13">
        <f t="shared" si="1"/>
        <v>0</v>
      </c>
      <c r="H31" s="13">
        <f t="shared" si="1"/>
        <v>1156249.3459459459</v>
      </c>
      <c r="I31" s="13">
        <f t="shared" si="1"/>
        <v>72355.848648648651</v>
      </c>
      <c r="J31" s="13">
        <f t="shared" si="1"/>
        <v>60238.8</v>
      </c>
      <c r="K31" s="13">
        <f t="shared" si="1"/>
        <v>12117.616216216216</v>
      </c>
      <c r="L31" s="13">
        <f t="shared" si="1"/>
        <v>19069.297297297297</v>
      </c>
      <c r="M31" s="13">
        <f t="shared" si="1"/>
        <v>1156249.3459459459</v>
      </c>
      <c r="N31" s="13">
        <f t="shared" si="1"/>
        <v>0</v>
      </c>
      <c r="O31" s="13">
        <f t="shared" si="1"/>
        <v>10647.227027027027</v>
      </c>
      <c r="P31" s="13">
        <f t="shared" si="1"/>
        <v>29636.951351351352</v>
      </c>
      <c r="Q31" s="13">
        <f t="shared" si="1"/>
        <v>885.32432432432438</v>
      </c>
      <c r="R31" s="13">
        <f t="shared" si="1"/>
        <v>29636.951351351352</v>
      </c>
      <c r="S31" s="13">
        <f t="shared" si="1"/>
        <v>885.32432432432438</v>
      </c>
    </row>
    <row r="32" spans="1:19" x14ac:dyDescent="0.4">
      <c r="A32" t="s">
        <v>23</v>
      </c>
      <c r="B32">
        <v>2040</v>
      </c>
      <c r="C32" s="13">
        <f t="shared" si="2"/>
        <v>442478.85536486481</v>
      </c>
      <c r="D32" s="13">
        <f t="shared" si="3"/>
        <v>960784.84391081077</v>
      </c>
      <c r="E32" s="13">
        <f t="shared" si="1"/>
        <v>1433626.2432432433</v>
      </c>
      <c r="F32" s="13">
        <f t="shared" si="1"/>
        <v>218019.6790081081</v>
      </c>
      <c r="G32" s="13">
        <f t="shared" si="1"/>
        <v>0</v>
      </c>
      <c r="H32" s="13">
        <f t="shared" si="1"/>
        <v>1161850.3675675676</v>
      </c>
      <c r="I32" s="13">
        <f t="shared" si="1"/>
        <v>72873.589189189195</v>
      </c>
      <c r="J32" s="13">
        <f t="shared" si="1"/>
        <v>60084.6</v>
      </c>
      <c r="K32" s="13">
        <f t="shared" si="1"/>
        <v>12789.529729729729</v>
      </c>
      <c r="L32" s="13">
        <f t="shared" si="1"/>
        <v>19003.37837837838</v>
      </c>
      <c r="M32" s="13">
        <f t="shared" si="1"/>
        <v>1161850.3675675676</v>
      </c>
      <c r="N32" s="13">
        <f t="shared" si="1"/>
        <v>0</v>
      </c>
      <c r="O32" s="13">
        <f t="shared" si="1"/>
        <v>10718.616216216216</v>
      </c>
      <c r="P32" s="13">
        <f t="shared" si="1"/>
        <v>29489.010810810811</v>
      </c>
      <c r="Q32" s="13">
        <f t="shared" si="1"/>
        <v>873.59459459459458</v>
      </c>
      <c r="R32" s="13">
        <f t="shared" si="1"/>
        <v>29489.010810810811</v>
      </c>
      <c r="S32" s="13">
        <f t="shared" si="1"/>
        <v>873.59459459459458</v>
      </c>
    </row>
    <row r="33" spans="1:19" x14ac:dyDescent="0.4">
      <c r="A33" t="s">
        <v>23</v>
      </c>
      <c r="B33">
        <v>2041</v>
      </c>
      <c r="C33" s="13">
        <f t="shared" si="2"/>
        <v>448423.09762162156</v>
      </c>
      <c r="D33" s="13">
        <f t="shared" si="3"/>
        <v>960893.10867027019</v>
      </c>
      <c r="E33" s="13">
        <f t="shared" si="1"/>
        <v>1439519.0810810812</v>
      </c>
      <c r="F33" s="13">
        <f t="shared" si="1"/>
        <v>217702.02730270269</v>
      </c>
      <c r="G33" s="13">
        <f t="shared" si="1"/>
        <v>0</v>
      </c>
      <c r="H33" s="13">
        <f t="shared" si="1"/>
        <v>1167451.3891891893</v>
      </c>
      <c r="I33" s="13">
        <f t="shared" si="1"/>
        <v>73391.329729729739</v>
      </c>
      <c r="J33" s="13">
        <f t="shared" si="1"/>
        <v>59930.400000000001</v>
      </c>
      <c r="K33" s="13">
        <f t="shared" si="1"/>
        <v>13461.443243243244</v>
      </c>
      <c r="L33" s="13">
        <f t="shared" si="1"/>
        <v>18937.45945945946</v>
      </c>
      <c r="M33" s="13">
        <f t="shared" si="1"/>
        <v>1167451.3891891893</v>
      </c>
      <c r="N33" s="13">
        <f t="shared" si="1"/>
        <v>0</v>
      </c>
      <c r="O33" s="13">
        <f t="shared" si="1"/>
        <v>10790.005405405405</v>
      </c>
      <c r="P33" s="13">
        <f t="shared" si="1"/>
        <v>29341.070270270269</v>
      </c>
      <c r="Q33" s="13">
        <f t="shared" si="1"/>
        <v>861.8648648648649</v>
      </c>
      <c r="R33" s="13">
        <f t="shared" si="1"/>
        <v>29341.070270270269</v>
      </c>
      <c r="S33" s="13">
        <f t="shared" si="1"/>
        <v>861.8648648648649</v>
      </c>
    </row>
    <row r="34" spans="1:19" x14ac:dyDescent="0.4">
      <c r="A34" t="s">
        <v>23</v>
      </c>
      <c r="B34">
        <v>2042</v>
      </c>
      <c r="C34" s="13">
        <f t="shared" si="2"/>
        <v>454367.33987837832</v>
      </c>
      <c r="D34" s="13">
        <f t="shared" si="3"/>
        <v>961001.37342972972</v>
      </c>
      <c r="E34" s="13">
        <f t="shared" si="1"/>
        <v>1445411.9189189188</v>
      </c>
      <c r="F34" s="13">
        <f t="shared" si="1"/>
        <v>217384.3755972973</v>
      </c>
      <c r="G34" s="13">
        <f t="shared" si="1"/>
        <v>0</v>
      </c>
      <c r="H34" s="13">
        <f t="shared" si="1"/>
        <v>1173052.4108108107</v>
      </c>
      <c r="I34" s="13">
        <f t="shared" si="1"/>
        <v>73909.070270270269</v>
      </c>
      <c r="J34" s="13">
        <f t="shared" ref="E34:S51" si="4">(J$52-J$15)/($B$52-$B$15)*($B34-$B$15)+J$15</f>
        <v>59776.2</v>
      </c>
      <c r="K34" s="13">
        <f t="shared" si="4"/>
        <v>14133.356756756757</v>
      </c>
      <c r="L34" s="13">
        <f t="shared" si="4"/>
        <v>18871.54054054054</v>
      </c>
      <c r="M34" s="13">
        <f t="shared" si="4"/>
        <v>1173052.4108108107</v>
      </c>
      <c r="N34" s="13">
        <f t="shared" si="4"/>
        <v>0</v>
      </c>
      <c r="O34" s="13">
        <f t="shared" si="4"/>
        <v>10861.394594594594</v>
      </c>
      <c r="P34" s="13">
        <f t="shared" si="4"/>
        <v>29193.129729729731</v>
      </c>
      <c r="Q34" s="13">
        <f t="shared" si="4"/>
        <v>850.1351351351351</v>
      </c>
      <c r="R34" s="13">
        <f t="shared" si="4"/>
        <v>29193.129729729731</v>
      </c>
      <c r="S34" s="13">
        <f t="shared" si="4"/>
        <v>850.1351351351351</v>
      </c>
    </row>
    <row r="35" spans="1:19" x14ac:dyDescent="0.4">
      <c r="A35" t="s">
        <v>23</v>
      </c>
      <c r="B35">
        <v>2043</v>
      </c>
      <c r="C35" s="13">
        <f t="shared" si="2"/>
        <v>460311.58213513508</v>
      </c>
      <c r="D35" s="13">
        <f t="shared" si="3"/>
        <v>961109.63818918914</v>
      </c>
      <c r="E35" s="13">
        <f t="shared" si="4"/>
        <v>1451304.7567567567</v>
      </c>
      <c r="F35" s="13">
        <f t="shared" si="4"/>
        <v>217066.72389189189</v>
      </c>
      <c r="G35" s="13">
        <f t="shared" si="4"/>
        <v>0</v>
      </c>
      <c r="H35" s="13">
        <f t="shared" si="4"/>
        <v>1178653.4324324324</v>
      </c>
      <c r="I35" s="13">
        <f t="shared" si="4"/>
        <v>74426.810810810814</v>
      </c>
      <c r="J35" s="13">
        <f t="shared" si="4"/>
        <v>59622</v>
      </c>
      <c r="K35" s="13">
        <f t="shared" si="4"/>
        <v>14805.27027027027</v>
      </c>
      <c r="L35" s="13">
        <f t="shared" si="4"/>
        <v>18805.62162162162</v>
      </c>
      <c r="M35" s="13">
        <f t="shared" si="4"/>
        <v>1178653.4324324324</v>
      </c>
      <c r="N35" s="13">
        <f t="shared" si="4"/>
        <v>0</v>
      </c>
      <c r="O35" s="13">
        <f t="shared" si="4"/>
        <v>10932.783783783783</v>
      </c>
      <c r="P35" s="13">
        <f t="shared" si="4"/>
        <v>29045.18918918919</v>
      </c>
      <c r="Q35" s="13">
        <f t="shared" si="4"/>
        <v>838.40540540540542</v>
      </c>
      <c r="R35" s="13">
        <f t="shared" si="4"/>
        <v>29045.18918918919</v>
      </c>
      <c r="S35" s="13">
        <f t="shared" si="4"/>
        <v>838.40540540540542</v>
      </c>
    </row>
    <row r="36" spans="1:19" x14ac:dyDescent="0.4">
      <c r="A36" t="s">
        <v>23</v>
      </c>
      <c r="B36">
        <v>2044</v>
      </c>
      <c r="C36" s="13">
        <f t="shared" si="2"/>
        <v>466255.82439189183</v>
      </c>
      <c r="D36" s="13">
        <f t="shared" si="3"/>
        <v>961217.90294864855</v>
      </c>
      <c r="E36" s="13">
        <f t="shared" si="4"/>
        <v>1457197.5945945946</v>
      </c>
      <c r="F36" s="13">
        <f t="shared" si="4"/>
        <v>216749.07218648648</v>
      </c>
      <c r="G36" s="13">
        <f t="shared" si="4"/>
        <v>0</v>
      </c>
      <c r="H36" s="13">
        <f t="shared" si="4"/>
        <v>1184254.4540540541</v>
      </c>
      <c r="I36" s="13">
        <f t="shared" si="4"/>
        <v>74944.551351351358</v>
      </c>
      <c r="J36" s="13">
        <f t="shared" si="4"/>
        <v>59467.8</v>
      </c>
      <c r="K36" s="13">
        <f t="shared" si="4"/>
        <v>15477.183783783785</v>
      </c>
      <c r="L36" s="13">
        <f t="shared" si="4"/>
        <v>18739.702702702703</v>
      </c>
      <c r="M36" s="13">
        <f t="shared" si="4"/>
        <v>1184254.4540540541</v>
      </c>
      <c r="N36" s="13">
        <f t="shared" si="4"/>
        <v>0</v>
      </c>
      <c r="O36" s="13">
        <f t="shared" si="4"/>
        <v>11004.172972972972</v>
      </c>
      <c r="P36" s="13">
        <f t="shared" si="4"/>
        <v>28897.248648648649</v>
      </c>
      <c r="Q36" s="13">
        <f t="shared" si="4"/>
        <v>826.67567567567562</v>
      </c>
      <c r="R36" s="13">
        <f t="shared" si="4"/>
        <v>28897.248648648649</v>
      </c>
      <c r="S36" s="13">
        <f t="shared" si="4"/>
        <v>826.67567567567562</v>
      </c>
    </row>
    <row r="37" spans="1:19" x14ac:dyDescent="0.4">
      <c r="A37" t="s">
        <v>23</v>
      </c>
      <c r="B37">
        <v>2045</v>
      </c>
      <c r="C37" s="13">
        <f t="shared" si="2"/>
        <v>472200.06664864859</v>
      </c>
      <c r="D37" s="13">
        <f t="shared" si="3"/>
        <v>961326.16770810809</v>
      </c>
      <c r="E37" s="13">
        <f t="shared" si="4"/>
        <v>1463090.4324324324</v>
      </c>
      <c r="F37" s="13">
        <f t="shared" si="4"/>
        <v>216431.42048108106</v>
      </c>
      <c r="G37" s="13">
        <f t="shared" si="4"/>
        <v>0</v>
      </c>
      <c r="H37" s="13">
        <f t="shared" si="4"/>
        <v>1189855.4756756758</v>
      </c>
      <c r="I37" s="13">
        <f t="shared" si="4"/>
        <v>75462.291891891902</v>
      </c>
      <c r="J37" s="13">
        <f t="shared" si="4"/>
        <v>59313.599999999999</v>
      </c>
      <c r="K37" s="13">
        <f t="shared" si="4"/>
        <v>16149.097297297298</v>
      </c>
      <c r="L37" s="13">
        <f t="shared" si="4"/>
        <v>18673.783783783783</v>
      </c>
      <c r="M37" s="13">
        <f t="shared" si="4"/>
        <v>1189855.4756756758</v>
      </c>
      <c r="N37" s="13">
        <f t="shared" si="4"/>
        <v>0</v>
      </c>
      <c r="O37" s="13">
        <f t="shared" si="4"/>
        <v>11075.562162162161</v>
      </c>
      <c r="P37" s="13">
        <f t="shared" si="4"/>
        <v>28749.308108108107</v>
      </c>
      <c r="Q37" s="13">
        <f t="shared" si="4"/>
        <v>814.94594594594594</v>
      </c>
      <c r="R37" s="13">
        <f t="shared" si="4"/>
        <v>28749.308108108107</v>
      </c>
      <c r="S37" s="13">
        <f t="shared" si="4"/>
        <v>814.94594594594594</v>
      </c>
    </row>
    <row r="38" spans="1:19" x14ac:dyDescent="0.4">
      <c r="A38" t="s">
        <v>23</v>
      </c>
      <c r="B38">
        <v>2046</v>
      </c>
      <c r="C38" s="13">
        <f t="shared" si="2"/>
        <v>478144.30890540534</v>
      </c>
      <c r="D38" s="13">
        <f t="shared" si="3"/>
        <v>961434.4324675675</v>
      </c>
      <c r="E38" s="13">
        <f t="shared" si="4"/>
        <v>1468983.2702702703</v>
      </c>
      <c r="F38" s="13">
        <f t="shared" si="4"/>
        <v>216113.76877567568</v>
      </c>
      <c r="G38" s="13">
        <f t="shared" si="4"/>
        <v>0</v>
      </c>
      <c r="H38" s="13">
        <f t="shared" si="4"/>
        <v>1195456.4972972972</v>
      </c>
      <c r="I38" s="13">
        <f t="shared" si="4"/>
        <v>75980.032432432432</v>
      </c>
      <c r="J38" s="13">
        <f t="shared" si="4"/>
        <v>59159.4</v>
      </c>
      <c r="K38" s="13">
        <f t="shared" si="4"/>
        <v>16821.010810810811</v>
      </c>
      <c r="L38" s="13">
        <f t="shared" si="4"/>
        <v>18607.864864864863</v>
      </c>
      <c r="M38" s="13">
        <f t="shared" si="4"/>
        <v>1195456.4972972972</v>
      </c>
      <c r="N38" s="13">
        <f t="shared" si="4"/>
        <v>0</v>
      </c>
      <c r="O38" s="13">
        <f t="shared" si="4"/>
        <v>11146.951351351352</v>
      </c>
      <c r="P38" s="13">
        <f t="shared" si="4"/>
        <v>28601.367567567569</v>
      </c>
      <c r="Q38" s="13">
        <f t="shared" si="4"/>
        <v>803.21621621621625</v>
      </c>
      <c r="R38" s="13">
        <f t="shared" si="4"/>
        <v>28601.367567567569</v>
      </c>
      <c r="S38" s="13">
        <f t="shared" si="4"/>
        <v>803.21621621621625</v>
      </c>
    </row>
    <row r="39" spans="1:19" x14ac:dyDescent="0.4">
      <c r="A39" t="s">
        <v>23</v>
      </c>
      <c r="B39">
        <v>2047</v>
      </c>
      <c r="C39" s="13">
        <f t="shared" si="2"/>
        <v>484088.5511621621</v>
      </c>
      <c r="D39" s="13">
        <f t="shared" si="3"/>
        <v>961542.69722702692</v>
      </c>
      <c r="E39" s="13">
        <f t="shared" si="4"/>
        <v>1474876.1081081082</v>
      </c>
      <c r="F39" s="13">
        <f t="shared" si="4"/>
        <v>215796.11707027027</v>
      </c>
      <c r="G39" s="13">
        <f t="shared" si="4"/>
        <v>0</v>
      </c>
      <c r="H39" s="13">
        <f t="shared" si="4"/>
        <v>1201057.5189189189</v>
      </c>
      <c r="I39" s="13">
        <f t="shared" si="4"/>
        <v>76497.772972972976</v>
      </c>
      <c r="J39" s="13">
        <f t="shared" si="4"/>
        <v>59005.2</v>
      </c>
      <c r="K39" s="13">
        <f t="shared" si="4"/>
        <v>17492.924324324325</v>
      </c>
      <c r="L39" s="13">
        <f t="shared" si="4"/>
        <v>18541.945945945947</v>
      </c>
      <c r="M39" s="13">
        <f t="shared" si="4"/>
        <v>1201057.5189189189</v>
      </c>
      <c r="N39" s="13">
        <f t="shared" si="4"/>
        <v>0</v>
      </c>
      <c r="O39" s="13">
        <f t="shared" si="4"/>
        <v>11218.340540540541</v>
      </c>
      <c r="P39" s="13">
        <f t="shared" si="4"/>
        <v>28453.427027027028</v>
      </c>
      <c r="Q39" s="13">
        <f t="shared" si="4"/>
        <v>791.48648648648646</v>
      </c>
      <c r="R39" s="13">
        <f t="shared" si="4"/>
        <v>28453.427027027028</v>
      </c>
      <c r="S39" s="13">
        <f t="shared" si="4"/>
        <v>791.48648648648646</v>
      </c>
    </row>
    <row r="40" spans="1:19" x14ac:dyDescent="0.4">
      <c r="A40" t="s">
        <v>23</v>
      </c>
      <c r="B40">
        <v>2048</v>
      </c>
      <c r="C40" s="13">
        <f t="shared" si="2"/>
        <v>490032.79341891885</v>
      </c>
      <c r="D40" s="13">
        <f t="shared" si="3"/>
        <v>961650.96198648645</v>
      </c>
      <c r="E40" s="13">
        <f t="shared" si="4"/>
        <v>1480768.945945946</v>
      </c>
      <c r="F40" s="13">
        <f t="shared" si="4"/>
        <v>215478.46536486485</v>
      </c>
      <c r="G40" s="13">
        <f t="shared" si="4"/>
        <v>0</v>
      </c>
      <c r="H40" s="13">
        <f t="shared" si="4"/>
        <v>1206658.5405405406</v>
      </c>
      <c r="I40" s="13">
        <f t="shared" si="4"/>
        <v>77015.513513513521</v>
      </c>
      <c r="J40" s="13">
        <f t="shared" si="4"/>
        <v>58851</v>
      </c>
      <c r="K40" s="13">
        <f t="shared" si="4"/>
        <v>18164.837837837837</v>
      </c>
      <c r="L40" s="13">
        <f t="shared" si="4"/>
        <v>18476.027027027027</v>
      </c>
      <c r="M40" s="13">
        <f t="shared" si="4"/>
        <v>1206658.5405405406</v>
      </c>
      <c r="N40" s="13">
        <f t="shared" si="4"/>
        <v>0</v>
      </c>
      <c r="O40" s="13">
        <f t="shared" si="4"/>
        <v>11289.72972972973</v>
      </c>
      <c r="P40" s="13">
        <f t="shared" si="4"/>
        <v>28305.486486486487</v>
      </c>
      <c r="Q40" s="13">
        <f t="shared" si="4"/>
        <v>779.75675675675677</v>
      </c>
      <c r="R40" s="13">
        <f t="shared" si="4"/>
        <v>28305.486486486487</v>
      </c>
      <c r="S40" s="13">
        <f t="shared" si="4"/>
        <v>779.75675675675677</v>
      </c>
    </row>
    <row r="41" spans="1:19" x14ac:dyDescent="0.4">
      <c r="A41" t="s">
        <v>23</v>
      </c>
      <c r="B41">
        <v>2049</v>
      </c>
      <c r="C41" s="13">
        <f t="shared" si="2"/>
        <v>495977.03567567561</v>
      </c>
      <c r="D41" s="13">
        <f t="shared" si="3"/>
        <v>961759.22674594587</v>
      </c>
      <c r="E41" s="13">
        <f t="shared" si="4"/>
        <v>1486661.7837837837</v>
      </c>
      <c r="F41" s="13">
        <f t="shared" si="4"/>
        <v>215160.81365945944</v>
      </c>
      <c r="G41" s="13">
        <f t="shared" si="4"/>
        <v>0</v>
      </c>
      <c r="H41" s="13">
        <f t="shared" si="4"/>
        <v>1212259.5621621623</v>
      </c>
      <c r="I41" s="13">
        <f t="shared" si="4"/>
        <v>77533.254054054065</v>
      </c>
      <c r="J41" s="13">
        <f t="shared" si="4"/>
        <v>58696.799999999996</v>
      </c>
      <c r="K41" s="13">
        <f t="shared" si="4"/>
        <v>18836.751351351351</v>
      </c>
      <c r="L41" s="13">
        <f t="shared" si="4"/>
        <v>18410.108108108107</v>
      </c>
      <c r="M41" s="13">
        <f t="shared" si="4"/>
        <v>1212259.5621621623</v>
      </c>
      <c r="N41" s="13">
        <f t="shared" si="4"/>
        <v>0</v>
      </c>
      <c r="O41" s="13">
        <f t="shared" si="4"/>
        <v>11361.118918918919</v>
      </c>
      <c r="P41" s="13">
        <f t="shared" si="4"/>
        <v>28157.545945945945</v>
      </c>
      <c r="Q41" s="13">
        <f t="shared" si="4"/>
        <v>768.02702702702709</v>
      </c>
      <c r="R41" s="13">
        <f t="shared" si="4"/>
        <v>28157.545945945945</v>
      </c>
      <c r="S41" s="13">
        <f t="shared" si="4"/>
        <v>768.02702702702709</v>
      </c>
    </row>
    <row r="42" spans="1:19" x14ac:dyDescent="0.4">
      <c r="A42" t="s">
        <v>23</v>
      </c>
      <c r="B42">
        <v>2050</v>
      </c>
      <c r="C42" s="13">
        <f t="shared" si="2"/>
        <v>501921.27793243236</v>
      </c>
      <c r="D42" s="13">
        <f t="shared" si="3"/>
        <v>961867.49150540528</v>
      </c>
      <c r="E42" s="13">
        <f t="shared" si="4"/>
        <v>1492554.6216216215</v>
      </c>
      <c r="F42" s="13">
        <f t="shared" si="4"/>
        <v>214843.16195405406</v>
      </c>
      <c r="G42" s="13">
        <f t="shared" si="4"/>
        <v>0</v>
      </c>
      <c r="H42" s="13">
        <f t="shared" si="4"/>
        <v>1217860.5837837839</v>
      </c>
      <c r="I42" s="13">
        <f t="shared" si="4"/>
        <v>78050.994594594609</v>
      </c>
      <c r="J42" s="13">
        <f t="shared" si="4"/>
        <v>58542.6</v>
      </c>
      <c r="K42" s="13">
        <f t="shared" si="4"/>
        <v>19508.664864864866</v>
      </c>
      <c r="L42" s="13">
        <f t="shared" si="4"/>
        <v>18344.18918918919</v>
      </c>
      <c r="M42" s="13">
        <f t="shared" si="4"/>
        <v>1217860.5837837839</v>
      </c>
      <c r="N42" s="13">
        <f t="shared" si="4"/>
        <v>0</v>
      </c>
      <c r="O42" s="13">
        <f t="shared" si="4"/>
        <v>11432.508108108108</v>
      </c>
      <c r="P42" s="13">
        <f t="shared" si="4"/>
        <v>28009.605405405404</v>
      </c>
      <c r="Q42" s="13">
        <f t="shared" si="4"/>
        <v>756.29729729729729</v>
      </c>
      <c r="R42" s="13">
        <f t="shared" si="4"/>
        <v>28009.605405405404</v>
      </c>
      <c r="S42" s="13">
        <f t="shared" si="4"/>
        <v>756.29729729729729</v>
      </c>
    </row>
    <row r="43" spans="1:19" x14ac:dyDescent="0.4">
      <c r="A43" t="s">
        <v>23</v>
      </c>
      <c r="B43">
        <v>2051</v>
      </c>
      <c r="C43" s="13">
        <f t="shared" si="2"/>
        <v>507865.52018918912</v>
      </c>
      <c r="D43" s="13">
        <f t="shared" si="3"/>
        <v>961975.75626486482</v>
      </c>
      <c r="E43" s="13">
        <f t="shared" si="4"/>
        <v>1498447.4594594594</v>
      </c>
      <c r="F43" s="13">
        <f t="shared" si="4"/>
        <v>214525.51024864864</v>
      </c>
      <c r="G43" s="13">
        <f t="shared" si="4"/>
        <v>0</v>
      </c>
      <c r="H43" s="13">
        <f t="shared" si="4"/>
        <v>1223461.6054054054</v>
      </c>
      <c r="I43" s="13">
        <f t="shared" si="4"/>
        <v>78568.735135135139</v>
      </c>
      <c r="J43" s="13">
        <f t="shared" si="4"/>
        <v>58388.4</v>
      </c>
      <c r="K43" s="13">
        <f t="shared" si="4"/>
        <v>20180.578378378377</v>
      </c>
      <c r="L43" s="13">
        <f t="shared" si="4"/>
        <v>18278.27027027027</v>
      </c>
      <c r="M43" s="13">
        <f t="shared" si="4"/>
        <v>1223461.6054054054</v>
      </c>
      <c r="N43" s="13">
        <f t="shared" si="4"/>
        <v>0</v>
      </c>
      <c r="O43" s="13">
        <f t="shared" si="4"/>
        <v>11503.897297297297</v>
      </c>
      <c r="P43" s="13">
        <f t="shared" si="4"/>
        <v>27861.664864864866</v>
      </c>
      <c r="Q43" s="13">
        <f t="shared" si="4"/>
        <v>744.56756756756749</v>
      </c>
      <c r="R43" s="13">
        <f t="shared" si="4"/>
        <v>27861.664864864866</v>
      </c>
      <c r="S43" s="13">
        <f t="shared" si="4"/>
        <v>744.56756756756749</v>
      </c>
    </row>
    <row r="44" spans="1:19" x14ac:dyDescent="0.4">
      <c r="A44" t="s">
        <v>23</v>
      </c>
      <c r="B44">
        <v>2052</v>
      </c>
      <c r="C44" s="13">
        <f t="shared" si="2"/>
        <v>513809.76244594587</v>
      </c>
      <c r="D44" s="13">
        <f t="shared" si="3"/>
        <v>962084.02102432423</v>
      </c>
      <c r="E44" s="13">
        <f t="shared" si="4"/>
        <v>1504340.2972972973</v>
      </c>
      <c r="F44" s="13">
        <f t="shared" si="4"/>
        <v>214207.85854324323</v>
      </c>
      <c r="G44" s="13">
        <f t="shared" si="4"/>
        <v>0</v>
      </c>
      <c r="H44" s="13">
        <f t="shared" si="4"/>
        <v>1229062.6270270271</v>
      </c>
      <c r="I44" s="13">
        <f t="shared" si="4"/>
        <v>79086.475675675683</v>
      </c>
      <c r="J44" s="13">
        <f t="shared" si="4"/>
        <v>58234.2</v>
      </c>
      <c r="K44" s="13">
        <f t="shared" si="4"/>
        <v>20852.491891891892</v>
      </c>
      <c r="L44" s="13">
        <f t="shared" si="4"/>
        <v>18212.35135135135</v>
      </c>
      <c r="M44" s="13">
        <f t="shared" si="4"/>
        <v>1229062.6270270271</v>
      </c>
      <c r="N44" s="13">
        <f t="shared" si="4"/>
        <v>0</v>
      </c>
      <c r="O44" s="13">
        <f t="shared" si="4"/>
        <v>11575.286486486486</v>
      </c>
      <c r="P44" s="13">
        <f t="shared" si="4"/>
        <v>27713.724324324325</v>
      </c>
      <c r="Q44" s="13">
        <f t="shared" si="4"/>
        <v>732.83783783783781</v>
      </c>
      <c r="R44" s="13">
        <f t="shared" si="4"/>
        <v>27713.724324324325</v>
      </c>
      <c r="S44" s="13">
        <f t="shared" si="4"/>
        <v>732.83783783783781</v>
      </c>
    </row>
    <row r="45" spans="1:19" x14ac:dyDescent="0.4">
      <c r="A45" t="s">
        <v>23</v>
      </c>
      <c r="B45">
        <v>2053</v>
      </c>
      <c r="C45" s="13">
        <f t="shared" si="2"/>
        <v>519754.00470270263</v>
      </c>
      <c r="D45" s="13">
        <f t="shared" si="3"/>
        <v>962192.28578378377</v>
      </c>
      <c r="E45" s="13">
        <f t="shared" si="4"/>
        <v>1510233.1351351351</v>
      </c>
      <c r="F45" s="13">
        <f t="shared" si="4"/>
        <v>213890.20683783782</v>
      </c>
      <c r="G45" s="13">
        <f t="shared" si="4"/>
        <v>0</v>
      </c>
      <c r="H45" s="13">
        <f t="shared" si="4"/>
        <v>1234663.6486486488</v>
      </c>
      <c r="I45" s="13">
        <f t="shared" si="4"/>
        <v>79604.216216216228</v>
      </c>
      <c r="J45" s="13">
        <f t="shared" si="4"/>
        <v>58080</v>
      </c>
      <c r="K45" s="13">
        <f t="shared" si="4"/>
        <v>21524.405405405407</v>
      </c>
      <c r="L45" s="13">
        <f t="shared" si="4"/>
        <v>18146.432432432433</v>
      </c>
      <c r="M45" s="13">
        <f t="shared" si="4"/>
        <v>1234663.6486486488</v>
      </c>
      <c r="N45" s="13">
        <f t="shared" si="4"/>
        <v>0</v>
      </c>
      <c r="O45" s="13">
        <f t="shared" si="4"/>
        <v>11646.675675675675</v>
      </c>
      <c r="P45" s="13">
        <f t="shared" si="4"/>
        <v>27565.783783783783</v>
      </c>
      <c r="Q45" s="13">
        <f t="shared" si="4"/>
        <v>721.10810810810813</v>
      </c>
      <c r="R45" s="13">
        <f t="shared" si="4"/>
        <v>27565.783783783783</v>
      </c>
      <c r="S45" s="13">
        <f t="shared" si="4"/>
        <v>721.10810810810813</v>
      </c>
    </row>
    <row r="46" spans="1:19" x14ac:dyDescent="0.4">
      <c r="A46" t="s">
        <v>23</v>
      </c>
      <c r="B46">
        <v>2054</v>
      </c>
      <c r="C46" s="13">
        <f t="shared" si="2"/>
        <v>525698.24695945939</v>
      </c>
      <c r="D46" s="13">
        <f t="shared" si="3"/>
        <v>962300.55054324318</v>
      </c>
      <c r="E46" s="13">
        <f t="shared" si="4"/>
        <v>1516125.972972973</v>
      </c>
      <c r="F46" s="13">
        <f t="shared" si="4"/>
        <v>213572.55513243243</v>
      </c>
      <c r="G46" s="13">
        <f t="shared" si="4"/>
        <v>0</v>
      </c>
      <c r="H46" s="13">
        <f t="shared" si="4"/>
        <v>1240264.6702702702</v>
      </c>
      <c r="I46" s="13">
        <f t="shared" si="4"/>
        <v>80121.956756756757</v>
      </c>
      <c r="J46" s="13">
        <f t="shared" si="4"/>
        <v>57925.799999999996</v>
      </c>
      <c r="K46" s="13">
        <f t="shared" si="4"/>
        <v>22196.318918918918</v>
      </c>
      <c r="L46" s="13">
        <f t="shared" si="4"/>
        <v>18080.513513513513</v>
      </c>
      <c r="M46" s="13">
        <f t="shared" si="4"/>
        <v>1240264.6702702702</v>
      </c>
      <c r="N46" s="13">
        <f t="shared" si="4"/>
        <v>0</v>
      </c>
      <c r="O46" s="13">
        <f t="shared" si="4"/>
        <v>11718.064864864864</v>
      </c>
      <c r="P46" s="13">
        <f t="shared" si="4"/>
        <v>27417.843243243246</v>
      </c>
      <c r="Q46" s="13">
        <f t="shared" si="4"/>
        <v>709.37837837837833</v>
      </c>
      <c r="R46" s="13">
        <f t="shared" si="4"/>
        <v>27417.843243243246</v>
      </c>
      <c r="S46" s="13">
        <f t="shared" si="4"/>
        <v>709.37837837837833</v>
      </c>
    </row>
    <row r="47" spans="1:19" x14ac:dyDescent="0.4">
      <c r="A47" t="s">
        <v>23</v>
      </c>
      <c r="B47">
        <v>2055</v>
      </c>
      <c r="C47" s="13">
        <f t="shared" si="2"/>
        <v>531642.48921621614</v>
      </c>
      <c r="D47" s="13">
        <f t="shared" si="3"/>
        <v>962408.8153027026</v>
      </c>
      <c r="E47" s="13">
        <f t="shared" si="4"/>
        <v>1522018.8108108109</v>
      </c>
      <c r="F47" s="13">
        <f t="shared" si="4"/>
        <v>213254.90342702702</v>
      </c>
      <c r="G47" s="13">
        <f t="shared" si="4"/>
        <v>0</v>
      </c>
      <c r="H47" s="13">
        <f t="shared" si="4"/>
        <v>1245865.6918918919</v>
      </c>
      <c r="I47" s="13">
        <f t="shared" si="4"/>
        <v>80639.697297297302</v>
      </c>
      <c r="J47" s="13">
        <f t="shared" si="4"/>
        <v>57771.6</v>
      </c>
      <c r="K47" s="13">
        <f t="shared" si="4"/>
        <v>22868.232432432433</v>
      </c>
      <c r="L47" s="13">
        <f t="shared" si="4"/>
        <v>18014.594594594593</v>
      </c>
      <c r="M47" s="13">
        <f t="shared" si="4"/>
        <v>1245865.6918918919</v>
      </c>
      <c r="N47" s="13">
        <f t="shared" si="4"/>
        <v>0</v>
      </c>
      <c r="O47" s="13">
        <f t="shared" si="4"/>
        <v>11789.454054054055</v>
      </c>
      <c r="P47" s="13">
        <f t="shared" si="4"/>
        <v>27269.902702702704</v>
      </c>
      <c r="Q47" s="13">
        <f t="shared" si="4"/>
        <v>697.64864864864865</v>
      </c>
      <c r="R47" s="13">
        <f t="shared" si="4"/>
        <v>27269.902702702704</v>
      </c>
      <c r="S47" s="13">
        <f t="shared" si="4"/>
        <v>697.64864864864865</v>
      </c>
    </row>
    <row r="48" spans="1:19" x14ac:dyDescent="0.4">
      <c r="A48" t="s">
        <v>23</v>
      </c>
      <c r="B48">
        <v>2056</v>
      </c>
      <c r="C48" s="13">
        <f t="shared" si="2"/>
        <v>537586.7314729729</v>
      </c>
      <c r="D48" s="13">
        <f t="shared" si="3"/>
        <v>962517.08006216213</v>
      </c>
      <c r="E48" s="13">
        <f t="shared" si="4"/>
        <v>1527911.6486486485</v>
      </c>
      <c r="F48" s="13">
        <f t="shared" si="4"/>
        <v>212937.25172162161</v>
      </c>
      <c r="G48" s="13">
        <f t="shared" si="4"/>
        <v>0</v>
      </c>
      <c r="H48" s="13">
        <f t="shared" si="4"/>
        <v>1251466.7135135136</v>
      </c>
      <c r="I48" s="13">
        <f t="shared" si="4"/>
        <v>81157.437837837846</v>
      </c>
      <c r="J48" s="13">
        <f t="shared" si="4"/>
        <v>57617.4</v>
      </c>
      <c r="K48" s="13">
        <f t="shared" si="4"/>
        <v>23540.145945945947</v>
      </c>
      <c r="L48" s="13">
        <f t="shared" si="4"/>
        <v>17948.675675675677</v>
      </c>
      <c r="M48" s="13">
        <f t="shared" si="4"/>
        <v>1251466.7135135136</v>
      </c>
      <c r="N48" s="13">
        <f t="shared" si="4"/>
        <v>0</v>
      </c>
      <c r="O48" s="13">
        <f t="shared" si="4"/>
        <v>11860.843243243242</v>
      </c>
      <c r="P48" s="13">
        <f t="shared" si="4"/>
        <v>27121.962162162163</v>
      </c>
      <c r="Q48" s="13">
        <f t="shared" si="4"/>
        <v>685.91891891891896</v>
      </c>
      <c r="R48" s="13">
        <f t="shared" si="4"/>
        <v>27121.962162162163</v>
      </c>
      <c r="S48" s="13">
        <f t="shared" si="4"/>
        <v>685.91891891891896</v>
      </c>
    </row>
    <row r="49" spans="1:19" x14ac:dyDescent="0.4">
      <c r="A49" t="s">
        <v>23</v>
      </c>
      <c r="B49">
        <v>2057</v>
      </c>
      <c r="C49" s="13">
        <f t="shared" si="2"/>
        <v>543530.97372972965</v>
      </c>
      <c r="D49" s="13">
        <f t="shared" si="3"/>
        <v>962625.34482162155</v>
      </c>
      <c r="E49" s="13">
        <f t="shared" si="4"/>
        <v>1533804.4864864864</v>
      </c>
      <c r="F49" s="13">
        <f t="shared" si="4"/>
        <v>212619.60001621619</v>
      </c>
      <c r="G49" s="13">
        <f t="shared" si="4"/>
        <v>0</v>
      </c>
      <c r="H49" s="13">
        <f t="shared" si="4"/>
        <v>1257067.7351351352</v>
      </c>
      <c r="I49" s="13">
        <f t="shared" si="4"/>
        <v>81675.17837837839</v>
      </c>
      <c r="J49" s="13">
        <f t="shared" si="4"/>
        <v>57463.199999999997</v>
      </c>
      <c r="K49" s="13">
        <f t="shared" si="4"/>
        <v>24212.059459459459</v>
      </c>
      <c r="L49" s="13">
        <f t="shared" si="4"/>
        <v>17882.756756756757</v>
      </c>
      <c r="M49" s="13">
        <f t="shared" si="4"/>
        <v>1257067.7351351352</v>
      </c>
      <c r="N49" s="13">
        <f t="shared" si="4"/>
        <v>0</v>
      </c>
      <c r="O49" s="13">
        <f t="shared" si="4"/>
        <v>11932.232432432433</v>
      </c>
      <c r="P49" s="13">
        <f t="shared" si="4"/>
        <v>26974.021621621621</v>
      </c>
      <c r="Q49" s="13">
        <f t="shared" si="4"/>
        <v>674.18918918918916</v>
      </c>
      <c r="R49" s="13">
        <f t="shared" si="4"/>
        <v>26974.021621621621</v>
      </c>
      <c r="S49" s="13">
        <f t="shared" si="4"/>
        <v>674.18918918918916</v>
      </c>
    </row>
    <row r="50" spans="1:19" x14ac:dyDescent="0.4">
      <c r="A50" t="s">
        <v>23</v>
      </c>
      <c r="B50">
        <v>2058</v>
      </c>
      <c r="C50" s="13">
        <f t="shared" si="2"/>
        <v>549475.21598648641</v>
      </c>
      <c r="D50" s="13">
        <f t="shared" si="3"/>
        <v>962733.60958108096</v>
      </c>
      <c r="E50" s="13">
        <f t="shared" si="4"/>
        <v>1539697.3243243243</v>
      </c>
      <c r="F50" s="13">
        <f t="shared" si="4"/>
        <v>212301.94831081081</v>
      </c>
      <c r="G50" s="13">
        <f t="shared" si="4"/>
        <v>0</v>
      </c>
      <c r="H50" s="13">
        <f t="shared" si="4"/>
        <v>1262668.7567567569</v>
      </c>
      <c r="I50" s="13">
        <f t="shared" si="4"/>
        <v>82192.918918918935</v>
      </c>
      <c r="J50" s="13">
        <f t="shared" si="4"/>
        <v>57309</v>
      </c>
      <c r="K50" s="13">
        <f t="shared" si="4"/>
        <v>24883.972972972973</v>
      </c>
      <c r="L50" s="13">
        <f t="shared" si="4"/>
        <v>17816.837837837837</v>
      </c>
      <c r="M50" s="13">
        <f t="shared" si="4"/>
        <v>1262668.7567567569</v>
      </c>
      <c r="N50" s="13">
        <f t="shared" si="4"/>
        <v>0</v>
      </c>
      <c r="O50" s="13">
        <f t="shared" si="4"/>
        <v>12003.621621621622</v>
      </c>
      <c r="P50" s="13">
        <f t="shared" si="4"/>
        <v>26826.08108108108</v>
      </c>
      <c r="Q50" s="13">
        <f t="shared" si="4"/>
        <v>662.45945945945948</v>
      </c>
      <c r="R50" s="13">
        <f t="shared" si="4"/>
        <v>26826.08108108108</v>
      </c>
      <c r="S50" s="13">
        <f t="shared" si="4"/>
        <v>662.45945945945948</v>
      </c>
    </row>
    <row r="51" spans="1:19" x14ac:dyDescent="0.4">
      <c r="A51" t="s">
        <v>23</v>
      </c>
      <c r="B51">
        <v>2059</v>
      </c>
      <c r="C51" s="13">
        <f t="shared" si="2"/>
        <v>555419.45824324316</v>
      </c>
      <c r="D51" s="13">
        <f t="shared" si="3"/>
        <v>962841.8743405405</v>
      </c>
      <c r="E51" s="13">
        <f t="shared" si="4"/>
        <v>1545590.1621621621</v>
      </c>
      <c r="F51" s="13">
        <f t="shared" si="4"/>
        <v>211984.2966054054</v>
      </c>
      <c r="G51" s="13">
        <f t="shared" si="4"/>
        <v>0</v>
      </c>
      <c r="H51" s="13">
        <f t="shared" si="4"/>
        <v>1268269.7783783784</v>
      </c>
      <c r="I51" s="13">
        <f t="shared" si="4"/>
        <v>82710.659459459464</v>
      </c>
      <c r="J51" s="13">
        <f t="shared" ref="J51:S51" si="5">(J$52-J$15)/($B$52-$B$15)*($B51-$B$15)+J$15</f>
        <v>57154.799999999996</v>
      </c>
      <c r="K51" s="13">
        <f t="shared" si="5"/>
        <v>25555.886486486488</v>
      </c>
      <c r="L51" s="13">
        <f t="shared" si="5"/>
        <v>17750.91891891892</v>
      </c>
      <c r="M51" s="13">
        <f t="shared" si="5"/>
        <v>1268269.7783783784</v>
      </c>
      <c r="N51" s="13">
        <f t="shared" si="5"/>
        <v>0</v>
      </c>
      <c r="O51" s="13">
        <f t="shared" si="5"/>
        <v>12075.010810810811</v>
      </c>
      <c r="P51" s="13">
        <f t="shared" si="5"/>
        <v>26678.140540540542</v>
      </c>
      <c r="Q51" s="13">
        <f t="shared" si="5"/>
        <v>650.7297297297298</v>
      </c>
      <c r="R51" s="13">
        <f t="shared" si="5"/>
        <v>26678.140540540542</v>
      </c>
      <c r="S51" s="13">
        <f t="shared" si="5"/>
        <v>650.7297297297298</v>
      </c>
    </row>
    <row r="52" spans="1:19" x14ac:dyDescent="0.4">
      <c r="A52" t="s">
        <v>23</v>
      </c>
      <c r="B52">
        <v>2060</v>
      </c>
      <c r="C52" s="13">
        <f>C7*0.9</f>
        <v>561363.70049999992</v>
      </c>
      <c r="D52" s="13">
        <f>D7*0.9</f>
        <v>962950.13909999991</v>
      </c>
      <c r="E52" s="13">
        <f t="shared" ref="E52:S52" si="6">E7*0.9</f>
        <v>1551483</v>
      </c>
      <c r="F52" s="13">
        <f t="shared" si="6"/>
        <v>211666.64489999998</v>
      </c>
      <c r="G52" s="13">
        <f t="shared" si="6"/>
        <v>0</v>
      </c>
      <c r="H52" s="13">
        <f t="shared" si="6"/>
        <v>1273870.8</v>
      </c>
      <c r="I52" s="13">
        <f t="shared" si="6"/>
        <v>83228.400000000009</v>
      </c>
      <c r="J52" s="13">
        <f t="shared" si="6"/>
        <v>57000.6</v>
      </c>
      <c r="K52" s="13">
        <f t="shared" si="6"/>
        <v>26227.8</v>
      </c>
      <c r="L52" s="13">
        <f t="shared" si="6"/>
        <v>17685</v>
      </c>
      <c r="M52" s="13">
        <f t="shared" si="6"/>
        <v>1273870.8</v>
      </c>
      <c r="N52" s="13">
        <f t="shared" si="6"/>
        <v>0</v>
      </c>
      <c r="O52" s="13">
        <f t="shared" si="6"/>
        <v>12146.4</v>
      </c>
      <c r="P52" s="13">
        <f t="shared" si="6"/>
        <v>26530.2</v>
      </c>
      <c r="Q52" s="13">
        <f t="shared" si="6"/>
        <v>639</v>
      </c>
      <c r="R52" s="13">
        <f t="shared" si="6"/>
        <v>26530.2</v>
      </c>
      <c r="S52" s="13">
        <f t="shared" si="6"/>
        <v>639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522CF89B26E0845B50B5E1C9A944F9B" ma:contentTypeVersion="7" ma:contentTypeDescription="Opret et nyt dokument." ma:contentTypeScope="" ma:versionID="45400a4d619f0987176347dec03f3608">
  <xsd:schema xmlns:xsd="http://www.w3.org/2001/XMLSchema" xmlns:xs="http://www.w3.org/2001/XMLSchema" xmlns:p="http://schemas.microsoft.com/office/2006/metadata/properties" xmlns:ns2="0eac1d08-77e4-473c-b4a7-df754a41795b" targetNamespace="http://schemas.microsoft.com/office/2006/metadata/properties" ma:root="true" ma:fieldsID="864e68c680357f57a54ffc9b890675e6" ns2:_="">
    <xsd:import namespace="0eac1d08-77e4-473c-b4a7-df754a4179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c1d08-77e4-473c-b4a7-df754a417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2E661B-1049-4887-85E2-6A7E5B1969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A877DA-BB24-44D8-89E3-D4F37B384F63}">
  <ds:schemaRefs>
    <ds:schemaRef ds:uri="http://purl.org/dc/terms/"/>
    <ds:schemaRef ds:uri="0eac1d08-77e4-473c-b4a7-df754a41795b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E327A3D-DBCE-49D5-A027-50B76AF8A2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ac1d08-77e4-473c-b4a7-df754a4179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Biomass</vt:lpstr>
      <vt:lpstr>Metal ores (gross ores)</vt:lpstr>
      <vt:lpstr>Non-metallic minerals</vt:lpstr>
      <vt:lpstr>Fossil energy materials_carrier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Sune Bak Regueira</cp:lastModifiedBy>
  <cp:revision/>
  <dcterms:created xsi:type="dcterms:W3CDTF">2025-12-03T23:11:44Z</dcterms:created>
  <dcterms:modified xsi:type="dcterms:W3CDTF">2025-12-07T18:55:33Z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0x0101008522CF89B26E0845B50B5E1C9A944F9B</vt:lpwstr>
  </property>
</Properties>
</file>